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FB3D9EE1-30CB-4457-AC28-E5D7711B9CF3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3" i="1" l="1"/>
  <c r="H13" i="1" s="1"/>
  <c r="T13" i="1"/>
  <c r="J13" i="1"/>
  <c r="F13" i="1"/>
  <c r="U13" i="1" s="1"/>
  <c r="L13" i="1" s="1"/>
  <c r="E13" i="1"/>
  <c r="X12" i="1"/>
  <c r="S12" i="1"/>
  <c r="Q12" i="1"/>
  <c r="O12" i="1"/>
  <c r="T12" i="1" s="1"/>
  <c r="K12" i="1"/>
  <c r="D12" i="1"/>
  <c r="B18" i="1" s="1"/>
  <c r="C12" i="1"/>
  <c r="B12" i="1"/>
  <c r="J12" i="1" s="1"/>
  <c r="X11" i="1"/>
  <c r="H11" i="1" s="1"/>
  <c r="M11" i="1" s="1"/>
  <c r="T11" i="1"/>
  <c r="J11" i="1"/>
  <c r="F11" i="1"/>
  <c r="G11" i="1" s="1"/>
  <c r="E11" i="1"/>
  <c r="X10" i="1"/>
  <c r="H10" i="1" s="1"/>
  <c r="T10" i="1"/>
  <c r="J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G8" i="1" s="1"/>
  <c r="E8" i="1"/>
  <c r="H8" i="1" s="1"/>
  <c r="X7" i="1"/>
  <c r="H7" i="1" s="1"/>
  <c r="I7" i="1" s="1"/>
  <c r="T7" i="1"/>
  <c r="J7" i="1"/>
  <c r="F7" i="1"/>
  <c r="G7" i="1" s="1"/>
  <c r="E7" i="1"/>
  <c r="X6" i="1"/>
  <c r="H6" i="1" s="1"/>
  <c r="T6" i="1"/>
  <c r="J6" i="1"/>
  <c r="G6" i="1"/>
  <c r="F6" i="1"/>
  <c r="U6" i="1" s="1"/>
  <c r="L6" i="1" s="1"/>
  <c r="E6" i="1"/>
  <c r="X5" i="1"/>
  <c r="H5" i="1" s="1"/>
  <c r="T5" i="1"/>
  <c r="J5" i="1"/>
  <c r="F5" i="1"/>
  <c r="E5" i="1"/>
  <c r="X4" i="1"/>
  <c r="T4" i="1"/>
  <c r="J4" i="1"/>
  <c r="F4" i="1"/>
  <c r="G4" i="1" s="1"/>
  <c r="E4" i="1"/>
  <c r="E12" i="1" s="1"/>
  <c r="H12" i="1" s="1"/>
  <c r="F12" i="1" l="1"/>
  <c r="U12" i="1" s="1"/>
  <c r="L12" i="1" s="1"/>
  <c r="G13" i="1"/>
  <c r="G10" i="1"/>
  <c r="M8" i="1"/>
  <c r="I8" i="1"/>
  <c r="I6" i="1"/>
  <c r="M6" i="1"/>
  <c r="I9" i="1"/>
  <c r="M9" i="1"/>
  <c r="M12" i="1"/>
  <c r="I12" i="1"/>
  <c r="I5" i="1"/>
  <c r="M5" i="1"/>
  <c r="I10" i="1"/>
  <c r="M10" i="1"/>
  <c r="I13" i="1"/>
  <c r="M13" i="1"/>
  <c r="C18" i="1"/>
  <c r="G5" i="1"/>
  <c r="G12" i="1" s="1"/>
  <c r="U8" i="1"/>
  <c r="L8" i="1" s="1"/>
  <c r="I11" i="1"/>
  <c r="A18" i="1"/>
  <c r="U5" i="1"/>
  <c r="L5" i="1" s="1"/>
  <c r="M7" i="1"/>
  <c r="U9" i="1"/>
  <c r="L9" i="1" s="1"/>
  <c r="U4" i="1"/>
  <c r="L4" i="1" s="1"/>
  <c r="U7" i="1"/>
  <c r="L7" i="1" s="1"/>
  <c r="U11" i="1"/>
  <c r="L11" i="1" s="1"/>
  <c r="H4" i="1"/>
  <c r="M4" i="1" l="1"/>
  <c r="I4" i="1"/>
  <c r="D18" i="1"/>
  <c r="E18" i="1" s="1"/>
  <c r="F18" i="1" s="1"/>
  <c r="C19" i="1"/>
  <c r="D19" i="1" l="1"/>
  <c r="E19" i="1" s="1"/>
  <c r="F19" i="1" s="1"/>
  <c r="C20" i="1"/>
  <c r="D20" i="1" l="1"/>
  <c r="E20" i="1" s="1"/>
  <c r="F20" i="1" s="1"/>
  <c r="C21" i="1"/>
  <c r="D21" i="1" l="1"/>
  <c r="E21" i="1" s="1"/>
  <c r="F21" i="1" s="1"/>
  <c r="C22" i="1"/>
  <c r="D22" i="1" l="1"/>
  <c r="E22" i="1" s="1"/>
  <c r="F22" i="1" s="1"/>
  <c r="C23" i="1"/>
  <c r="D23" i="1" s="1"/>
  <c r="E23" i="1" s="1"/>
  <c r="F23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<sst xmlns="http://schemas.openxmlformats.org/spreadsheetml/2006/main" count="49" uniqueCount="45">
  <si>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</si>
  <si>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</si>
  <si>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22-Dec-25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</si>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</sst>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topLeftCell="H1" workbookViewId="0">
      <selection activeCell="W4" sqref="W4:W13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85903</v>
      </c>
      <c r="C4" s="9">
        <v>3046419</v>
      </c>
      <c r="D4" s="9">
        <v>1769297</v>
      </c>
      <c r="E4" s="9">
        <f t="shared" ref="E4:E11" si="0">C4-D4</f>
        <v>1277122</v>
      </c>
      <c r="F4" s="9">
        <f t="shared" ref="F4:F11" si="1">C4*W4/V4</f>
        <v>2143776.3333333335</v>
      </c>
      <c r="G4" s="9">
        <f t="shared" ref="G4:G11" si="2">F4-D4</f>
        <v>374479.33333333349</v>
      </c>
      <c r="H4" s="9">
        <f t="shared" ref="H4:H13" si="3">(E4+B4)/(X4+1)</f>
        <v>151447.22222222222</v>
      </c>
      <c r="I4" s="9">
        <f t="shared" ref="I4:I13" si="4">H4*N4</f>
        <v>1067702.9166666665</v>
      </c>
      <c r="J4" s="9">
        <f t="shared" ref="J4:J13" si="5">B4*O4</f>
        <v>603898.09</v>
      </c>
      <c r="K4" s="9">
        <v>83992</v>
      </c>
      <c r="L4" s="16">
        <f t="shared" ref="L4:L13" si="6">T4/U4</f>
        <v>0.82297658123095385</v>
      </c>
      <c r="M4" s="9">
        <f t="shared" ref="M4:M13" si="7">H4/P4</f>
        <v>15144.722222222223</v>
      </c>
      <c r="N4" s="8">
        <v>7.05</v>
      </c>
      <c r="O4" s="8">
        <v>7.03</v>
      </c>
      <c r="P4" s="8">
        <v>10</v>
      </c>
      <c r="Q4" s="8">
        <v>10.89</v>
      </c>
      <c r="R4" s="11">
        <v>0.7</v>
      </c>
      <c r="S4" s="11">
        <v>0.72829999999999995</v>
      </c>
      <c r="T4" s="9">
        <f t="shared" ref="T4:T13" si="8">O4*D4</f>
        <v>12438157.91</v>
      </c>
      <c r="U4" s="9">
        <f t="shared" ref="U4:U13" si="9">N4*F4</f>
        <v>15113623.15</v>
      </c>
      <c r="V4" s="8">
        <v>27</v>
      </c>
      <c r="W4" s="8">
        <v>19</v>
      </c>
      <c r="X4" s="8">
        <f t="shared" ref="X4:X13" si="10">V4-W4</f>
        <v>8</v>
      </c>
    </row>
    <row r="5" spans="1:24" x14ac:dyDescent="0.25">
      <c r="A5" s="10" t="s">
        <v>28</v>
      </c>
      <c r="B5" s="9">
        <v>11880</v>
      </c>
      <c r="C5" s="9">
        <v>350940</v>
      </c>
      <c r="D5" s="9">
        <v>248210</v>
      </c>
      <c r="E5" s="9">
        <f t="shared" si="0"/>
        <v>102730</v>
      </c>
      <c r="F5" s="9">
        <f t="shared" si="1"/>
        <v>246957.77777777778</v>
      </c>
      <c r="G5" s="9">
        <f t="shared" si="2"/>
        <v>-1252.222222222219</v>
      </c>
      <c r="H5" s="9">
        <f t="shared" si="3"/>
        <v>12734.444444444445</v>
      </c>
      <c r="I5" s="9">
        <f t="shared" si="4"/>
        <v>89777.833333333343</v>
      </c>
      <c r="J5" s="9">
        <f t="shared" si="5"/>
        <v>68428.800000000003</v>
      </c>
      <c r="K5" s="9">
        <v>10890</v>
      </c>
      <c r="L5" s="16">
        <f t="shared" si="6"/>
        <v>0.82116405844204943</v>
      </c>
      <c r="M5" s="17">
        <f t="shared" si="7"/>
        <v>1273.4444444444446</v>
      </c>
      <c r="N5" s="8">
        <v>7.05</v>
      </c>
      <c r="O5" s="8">
        <v>5.76</v>
      </c>
      <c r="P5" s="8">
        <v>10</v>
      </c>
      <c r="Q5" s="8">
        <v>11.03</v>
      </c>
      <c r="R5" s="11">
        <v>0.7</v>
      </c>
      <c r="S5" s="11">
        <v>0.75099999999999989</v>
      </c>
      <c r="T5" s="9">
        <f t="shared" si="8"/>
        <v>1429689.5999999999</v>
      </c>
      <c r="U5" s="9">
        <f t="shared" si="9"/>
        <v>1741052.3333333333</v>
      </c>
      <c r="V5" s="8">
        <v>27</v>
      </c>
      <c r="W5" s="8">
        <v>19</v>
      </c>
      <c r="X5" s="8">
        <f t="shared" si="10"/>
        <v>8</v>
      </c>
    </row>
    <row r="6" spans="1:24" x14ac:dyDescent="0.25">
      <c r="A6" s="10" t="s">
        <v>29</v>
      </c>
      <c r="B6" s="9">
        <v>44044</v>
      </c>
      <c r="C6" s="9">
        <v>1530868</v>
      </c>
      <c r="D6" s="9">
        <v>910250</v>
      </c>
      <c r="E6" s="9">
        <f t="shared" si="0"/>
        <v>620618</v>
      </c>
      <c r="F6" s="9">
        <f t="shared" si="1"/>
        <v>1077277.4814814816</v>
      </c>
      <c r="G6" s="9">
        <f t="shared" si="2"/>
        <v>167027.48148148158</v>
      </c>
      <c r="H6" s="9">
        <f t="shared" si="3"/>
        <v>73851.333333333328</v>
      </c>
      <c r="I6" s="9">
        <f t="shared" si="4"/>
        <v>500712.04</v>
      </c>
      <c r="J6" s="9">
        <f t="shared" si="5"/>
        <v>263383.12</v>
      </c>
      <c r="K6" s="9">
        <v>43053</v>
      </c>
      <c r="L6" s="16">
        <f t="shared" si="6"/>
        <v>0.74525448086263613</v>
      </c>
      <c r="M6" s="9">
        <f t="shared" si="7"/>
        <v>6713.7575757575751</v>
      </c>
      <c r="N6" s="8">
        <v>6.78</v>
      </c>
      <c r="O6" s="8">
        <v>5.98</v>
      </c>
      <c r="P6" s="8">
        <v>11</v>
      </c>
      <c r="Q6" s="8">
        <v>10.42</v>
      </c>
      <c r="R6" s="11">
        <v>0.74</v>
      </c>
      <c r="S6" s="11">
        <v>0.69230000000000003</v>
      </c>
      <c r="T6" s="9">
        <f t="shared" si="8"/>
        <v>5443295</v>
      </c>
      <c r="U6" s="9">
        <f t="shared" si="9"/>
        <v>7303941.3244444458</v>
      </c>
      <c r="V6" s="8">
        <v>27</v>
      </c>
      <c r="W6" s="8">
        <v>19</v>
      </c>
      <c r="X6" s="8">
        <f t="shared" si="10"/>
        <v>8</v>
      </c>
    </row>
    <row r="7" spans="1:24" x14ac:dyDescent="0.25">
      <c r="A7" s="10" t="s">
        <v>30</v>
      </c>
      <c r="B7" s="9">
        <v>78502</v>
      </c>
      <c r="C7" s="9">
        <v>2273631</v>
      </c>
      <c r="D7" s="9">
        <v>1502540</v>
      </c>
      <c r="E7" s="9">
        <f t="shared" si="0"/>
        <v>771091</v>
      </c>
      <c r="F7" s="9">
        <f t="shared" si="1"/>
        <v>1599962.5555555555</v>
      </c>
      <c r="G7" s="9">
        <f t="shared" si="2"/>
        <v>97422.555555555504</v>
      </c>
      <c r="H7" s="9">
        <f t="shared" si="3"/>
        <v>94399.222222222219</v>
      </c>
      <c r="I7" s="9">
        <f t="shared" si="4"/>
        <v>793897.45888888882</v>
      </c>
      <c r="J7" s="9">
        <f t="shared" si="5"/>
        <v>613100.62</v>
      </c>
      <c r="K7" s="9">
        <v>92250</v>
      </c>
      <c r="L7" s="16">
        <f t="shared" si="6"/>
        <v>0.87210999065243267</v>
      </c>
      <c r="M7" s="9">
        <f t="shared" si="7"/>
        <v>9439.9222222222215</v>
      </c>
      <c r="N7" s="8">
        <v>8.41</v>
      </c>
      <c r="O7" s="8">
        <v>7.81</v>
      </c>
      <c r="P7" s="8">
        <v>10</v>
      </c>
      <c r="Q7" s="8">
        <v>10.06</v>
      </c>
      <c r="R7" s="11">
        <v>0.63</v>
      </c>
      <c r="S7" s="11">
        <v>0.60919999999999996</v>
      </c>
      <c r="T7" s="9">
        <f t="shared" si="8"/>
        <v>11734837.399999999</v>
      </c>
      <c r="U7" s="9">
        <f t="shared" si="9"/>
        <v>13455685.092222221</v>
      </c>
      <c r="V7" s="8">
        <v>27</v>
      </c>
      <c r="W7" s="8">
        <v>19</v>
      </c>
      <c r="X7" s="8">
        <f t="shared" si="10"/>
        <v>8</v>
      </c>
    </row>
    <row r="8" spans="1:24" x14ac:dyDescent="0.25">
      <c r="A8" s="10" t="s">
        <v>31</v>
      </c>
      <c r="B8" s="9">
        <v>77706</v>
      </c>
      <c r="C8" s="9">
        <v>2343006</v>
      </c>
      <c r="D8" s="9">
        <v>1296640</v>
      </c>
      <c r="E8" s="9">
        <f t="shared" si="0"/>
        <v>1046366</v>
      </c>
      <c r="F8" s="9">
        <f t="shared" si="1"/>
        <v>1648782</v>
      </c>
      <c r="G8" s="9">
        <f t="shared" si="2"/>
        <v>352142</v>
      </c>
      <c r="H8" s="9">
        <f t="shared" si="3"/>
        <v>124896.88888888889</v>
      </c>
      <c r="I8" s="9">
        <f t="shared" si="4"/>
        <v>921739.04</v>
      </c>
      <c r="J8" s="9">
        <f t="shared" si="5"/>
        <v>554820.84</v>
      </c>
      <c r="K8" s="9">
        <v>80861</v>
      </c>
      <c r="L8" s="16">
        <f t="shared" si="6"/>
        <v>0.76084821736800567</v>
      </c>
      <c r="M8" s="9">
        <f t="shared" si="7"/>
        <v>12489.68888888889</v>
      </c>
      <c r="N8" s="8">
        <v>7.38</v>
      </c>
      <c r="O8" s="8">
        <v>7.14</v>
      </c>
      <c r="P8" s="8">
        <v>10</v>
      </c>
      <c r="Q8" s="8">
        <v>8.74</v>
      </c>
      <c r="R8" s="11">
        <v>0.71</v>
      </c>
      <c r="S8" s="11">
        <v>0.67049999999999998</v>
      </c>
      <c r="T8" s="9">
        <f t="shared" si="8"/>
        <v>9258009.5999999996</v>
      </c>
      <c r="U8" s="9">
        <f t="shared" si="9"/>
        <v>12168011.16</v>
      </c>
      <c r="V8" s="8">
        <v>27</v>
      </c>
      <c r="W8" s="8">
        <v>19</v>
      </c>
      <c r="X8" s="8">
        <f t="shared" si="10"/>
        <v>8</v>
      </c>
    </row>
    <row r="9" spans="1:24" x14ac:dyDescent="0.25">
      <c r="A9" s="10" t="s">
        <v>32</v>
      </c>
      <c r="B9" s="9">
        <v>95530</v>
      </c>
      <c r="C9" s="9">
        <v>2907274</v>
      </c>
      <c r="D9" s="9">
        <v>2111597</v>
      </c>
      <c r="E9" s="9">
        <f t="shared" si="0"/>
        <v>795677</v>
      </c>
      <c r="F9" s="9">
        <f t="shared" si="1"/>
        <v>2045859.4814814816</v>
      </c>
      <c r="G9" s="9">
        <f t="shared" si="2"/>
        <v>-65737.518518518424</v>
      </c>
      <c r="H9" s="9">
        <f t="shared" si="3"/>
        <v>99023</v>
      </c>
      <c r="I9" s="9">
        <f t="shared" si="4"/>
        <v>646620.19000000006</v>
      </c>
      <c r="J9" s="9">
        <f t="shared" si="5"/>
        <v>580822.4</v>
      </c>
      <c r="K9" s="9">
        <v>110405</v>
      </c>
      <c r="L9" s="16">
        <f t="shared" si="6"/>
        <v>0.9610049687684098</v>
      </c>
      <c r="M9" s="9">
        <f t="shared" si="7"/>
        <v>9902.2999999999993</v>
      </c>
      <c r="N9" s="8">
        <v>6.53</v>
      </c>
      <c r="O9" s="8">
        <v>6.08</v>
      </c>
      <c r="P9" s="8">
        <v>10</v>
      </c>
      <c r="Q9" s="8">
        <v>11.96</v>
      </c>
      <c r="R9" s="11">
        <v>0.68</v>
      </c>
      <c r="S9" s="11">
        <v>0.6987000000000001</v>
      </c>
      <c r="T9" s="9">
        <f t="shared" si="8"/>
        <v>12838509.76</v>
      </c>
      <c r="U9" s="9">
        <f t="shared" si="9"/>
        <v>13359462.414074074</v>
      </c>
      <c r="V9" s="8">
        <v>27</v>
      </c>
      <c r="W9" s="8">
        <v>19</v>
      </c>
      <c r="X9" s="8">
        <f t="shared" si="10"/>
        <v>8</v>
      </c>
    </row>
    <row r="10" spans="1:24" ht="14.25" customHeight="1" x14ac:dyDescent="0.25">
      <c r="A10" s="10" t="s">
        <v>33</v>
      </c>
      <c r="B10" s="9">
        <v>142441</v>
      </c>
      <c r="C10" s="9">
        <v>3971692</v>
      </c>
      <c r="D10" s="9">
        <v>2630840</v>
      </c>
      <c r="E10" s="9">
        <f t="shared" si="0"/>
        <v>1340852</v>
      </c>
      <c r="F10" s="9">
        <f t="shared" si="1"/>
        <v>2794894.3703703703</v>
      </c>
      <c r="G10" s="9">
        <f t="shared" si="2"/>
        <v>164054.37037037034</v>
      </c>
      <c r="H10" s="9">
        <f t="shared" si="3"/>
        <v>164810.33333333334</v>
      </c>
      <c r="I10" s="9">
        <f t="shared" si="4"/>
        <v>1302001.6333333335</v>
      </c>
      <c r="J10" s="9">
        <f t="shared" si="5"/>
        <v>1046941.35</v>
      </c>
      <c r="K10" s="9">
        <v>146072</v>
      </c>
      <c r="L10" s="16">
        <f t="shared" si="6"/>
        <v>0.87576842943091193</v>
      </c>
      <c r="M10" s="9">
        <f t="shared" si="7"/>
        <v>16481.033333333333</v>
      </c>
      <c r="N10" s="8">
        <v>7.9</v>
      </c>
      <c r="O10" s="8">
        <v>7.35</v>
      </c>
      <c r="P10" s="8">
        <v>10</v>
      </c>
      <c r="Q10" s="8">
        <v>10.119999999999999</v>
      </c>
      <c r="R10" s="11">
        <v>0.68</v>
      </c>
      <c r="S10" s="11">
        <v>0.6873999999999999</v>
      </c>
      <c r="T10" s="9">
        <f t="shared" si="8"/>
        <v>19336674</v>
      </c>
      <c r="U10" s="9">
        <f t="shared" si="9"/>
        <v>22079665.525925927</v>
      </c>
      <c r="V10" s="8">
        <v>27</v>
      </c>
      <c r="W10" s="8">
        <v>19</v>
      </c>
      <c r="X10" s="8">
        <f t="shared" si="10"/>
        <v>8</v>
      </c>
    </row>
    <row r="11" spans="1:24" ht="14.25" customHeight="1" thickBot="1" x14ac:dyDescent="0.3">
      <c r="A11" s="21" t="s">
        <v>34</v>
      </c>
      <c r="B11" s="22">
        <v>19294</v>
      </c>
      <c r="C11" s="22">
        <v>0</v>
      </c>
      <c r="D11" s="22">
        <v>682228</v>
      </c>
      <c r="E11" s="9">
        <f t="shared" si="0"/>
        <v>-682228</v>
      </c>
      <c r="F11" s="9">
        <f t="shared" si="1"/>
        <v>0</v>
      </c>
      <c r="G11" s="9">
        <f t="shared" si="2"/>
        <v>-682228</v>
      </c>
      <c r="H11" s="9">
        <f t="shared" si="3"/>
        <v>-73659.333333333328</v>
      </c>
      <c r="I11" s="9">
        <f t="shared" si="4"/>
        <v>0</v>
      </c>
      <c r="J11" s="9">
        <f t="shared" si="5"/>
        <v>91067.68</v>
      </c>
      <c r="K11" s="9">
        <v>34631</v>
      </c>
      <c r="L11" s="16" t="e">
        <f t="shared" si="6"/>
        <v>#DIV/0!</v>
      </c>
      <c r="M11" s="9">
        <f t="shared" si="7"/>
        <v>-7365.9333333333325</v>
      </c>
      <c r="N11" s="18">
        <v>0</v>
      </c>
      <c r="O11" s="18">
        <v>4.72</v>
      </c>
      <c r="P11" s="18">
        <v>10</v>
      </c>
      <c r="Q11" s="18">
        <v>10.32</v>
      </c>
      <c r="R11" s="19">
        <v>0.63</v>
      </c>
      <c r="S11" s="19">
        <v>0.4133</v>
      </c>
      <c r="T11" s="9">
        <f t="shared" si="8"/>
        <v>3220116.1599999997</v>
      </c>
      <c r="U11" s="9">
        <f t="shared" si="9"/>
        <v>0</v>
      </c>
      <c r="V11" s="18">
        <v>27</v>
      </c>
      <c r="W11" s="18">
        <v>19</v>
      </c>
      <c r="X11" s="8">
        <f t="shared" si="10"/>
        <v>8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555300</v>
      </c>
      <c r="C12" s="7">
        <f t="shared" si="11"/>
        <v>16423830</v>
      </c>
      <c r="D12" s="7">
        <f t="shared" si="11"/>
        <v>11151602</v>
      </c>
      <c r="E12" s="7">
        <f t="shared" si="11"/>
        <v>5272228</v>
      </c>
      <c r="F12" s="7">
        <f t="shared" si="11"/>
        <v>11557510</v>
      </c>
      <c r="G12" s="7">
        <f t="shared" si="11"/>
        <v>405908.00000000023</v>
      </c>
      <c r="H12" s="7">
        <f t="shared" si="3"/>
        <v>647503.11111111112</v>
      </c>
      <c r="I12" s="7">
        <f t="shared" si="4"/>
        <v>4778572.96</v>
      </c>
      <c r="J12" s="7">
        <f t="shared" si="5"/>
        <v>3600426.375</v>
      </c>
      <c r="K12" s="7">
        <f>SUM(K4:K11)</f>
        <v>602154</v>
      </c>
      <c r="L12" s="12">
        <f t="shared" si="6"/>
        <v>0.84770136482825975</v>
      </c>
      <c r="M12" s="7">
        <f t="shared" si="7"/>
        <v>64750.311111111114</v>
      </c>
      <c r="N12" s="6">
        <v>7.38</v>
      </c>
      <c r="O12" s="6">
        <f>AVERAGE(O4:O11)</f>
        <v>6.4837499999999997</v>
      </c>
      <c r="P12" s="6">
        <v>10</v>
      </c>
      <c r="Q12" s="6">
        <f>AVERAGE(Q4:Q11)</f>
        <v>10.442500000000003</v>
      </c>
      <c r="R12" s="12">
        <v>0.68630000000000002</v>
      </c>
      <c r="S12" s="12">
        <f>AVERAGE(S4:S11)</f>
        <v>0.65633750000000002</v>
      </c>
      <c r="T12" s="7">
        <f t="shared" si="8"/>
        <v>72304199.467500001</v>
      </c>
      <c r="U12" s="7">
        <f t="shared" si="9"/>
        <v>85294423.799999997</v>
      </c>
      <c r="V12" s="6">
        <v>27</v>
      </c>
      <c r="W12" s="6">
        <v>19</v>
      </c>
      <c r="X12" s="6">
        <f t="shared" si="10"/>
        <v>8</v>
      </c>
    </row>
    <row r="13" spans="1:24" ht="15.75" customHeight="1" thickTop="1" x14ac:dyDescent="0.25">
      <c r="A13" s="10" t="s">
        <v>36</v>
      </c>
      <c r="B13" s="9">
        <v>111494</v>
      </c>
      <c r="C13" s="9">
        <v>3336726</v>
      </c>
      <c r="D13" s="9">
        <v>2436346</v>
      </c>
      <c r="E13" s="9">
        <f>C13-D13</f>
        <v>900380</v>
      </c>
      <c r="F13" s="9">
        <f>C13*W13/V13</f>
        <v>2348066.4444444445</v>
      </c>
      <c r="G13" s="9">
        <f>F13-D13</f>
        <v>-88279.555555555504</v>
      </c>
      <c r="H13" s="9">
        <f t="shared" si="3"/>
        <v>112430.44444444444</v>
      </c>
      <c r="I13" s="9">
        <f t="shared" si="4"/>
        <v>471083.56222222222</v>
      </c>
      <c r="J13" s="9">
        <f t="shared" si="5"/>
        <v>429251.9</v>
      </c>
      <c r="K13" s="9">
        <v>99102</v>
      </c>
      <c r="L13" s="16">
        <f t="shared" si="6"/>
        <v>0.95340031136382231</v>
      </c>
      <c r="M13" s="9">
        <f t="shared" si="7"/>
        <v>11153.813932980598</v>
      </c>
      <c r="N13" s="8">
        <v>4.1900000000000004</v>
      </c>
      <c r="O13" s="8">
        <v>3.85</v>
      </c>
      <c r="P13" s="8">
        <v>10.08</v>
      </c>
      <c r="Q13" s="8">
        <v>10.18</v>
      </c>
      <c r="R13" s="11">
        <v>0.79</v>
      </c>
      <c r="S13" s="11">
        <v>0.74849999999999994</v>
      </c>
      <c r="T13" s="9">
        <f t="shared" si="8"/>
        <v>9379932.0999999996</v>
      </c>
      <c r="U13" s="9">
        <f t="shared" si="9"/>
        <v>9838398.4022222236</v>
      </c>
      <c r="V13" s="8">
        <v>27</v>
      </c>
      <c r="W13" s="8">
        <v>19</v>
      </c>
      <c r="X13" s="8">
        <f t="shared" si="10"/>
        <v>8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16423830</v>
      </c>
      <c r="B18" s="13">
        <f>D12</f>
        <v>11151602</v>
      </c>
      <c r="C18" s="13">
        <f>QUOTIENT(B12,10000)*10000</f>
        <v>550000</v>
      </c>
      <c r="D18" s="13">
        <f t="shared" ref="D18:D23" si="12">C18*$X$12</f>
        <v>4400000</v>
      </c>
      <c r="E18" s="13">
        <f t="shared" ref="E18:E23" si="13">$D$12+D18</f>
        <v>15551602</v>
      </c>
      <c r="F18" s="13">
        <f t="shared" ref="F18:F23" si="14">$C$12-E18</f>
        <v>872228</v>
      </c>
      <c r="M18" s="1"/>
    </row>
    <row r="19" spans="1:13" x14ac:dyDescent="0.25">
      <c r="A19" s="15" t="s">
        <v>44</v>
      </c>
      <c r="B19" s="14"/>
      <c r="C19" s="13">
        <f>C18+35000</f>
        <v>585000</v>
      </c>
      <c r="D19" s="13">
        <f t="shared" si="12"/>
        <v>4680000</v>
      </c>
      <c r="E19" s="13">
        <f t="shared" si="13"/>
        <v>15831602</v>
      </c>
      <c r="F19" s="13">
        <f t="shared" si="14"/>
        <v>592228</v>
      </c>
      <c r="M19" s="1"/>
    </row>
    <row r="20" spans="1:13" x14ac:dyDescent="0.25">
      <c r="A20" s="15" t="s">
        <v>44</v>
      </c>
      <c r="B20" s="14"/>
      <c r="C20" s="13">
        <f>C19+35000</f>
        <v>620000</v>
      </c>
      <c r="D20" s="13">
        <f t="shared" si="12"/>
        <v>4960000</v>
      </c>
      <c r="E20" s="13">
        <f t="shared" si="13"/>
        <v>16111602</v>
      </c>
      <c r="F20" s="13">
        <f t="shared" si="14"/>
        <v>312228</v>
      </c>
    </row>
    <row r="21" spans="1:13" x14ac:dyDescent="0.25">
      <c r="A21" s="15" t="s">
        <v>44</v>
      </c>
      <c r="B21" s="14"/>
      <c r="C21" s="13">
        <f>C20+35000</f>
        <v>655000</v>
      </c>
      <c r="D21" s="13">
        <f t="shared" si="12"/>
        <v>5240000</v>
      </c>
      <c r="E21" s="13">
        <f t="shared" si="13"/>
        <v>16391602</v>
      </c>
      <c r="F21" s="13">
        <f t="shared" si="14"/>
        <v>32228</v>
      </c>
    </row>
    <row r="22" spans="1:13" x14ac:dyDescent="0.25">
      <c r="A22" s="15" t="s">
        <v>44</v>
      </c>
      <c r="B22" s="14"/>
      <c r="C22" s="13">
        <f>C21+35000</f>
        <v>690000</v>
      </c>
      <c r="D22" s="13">
        <f t="shared" si="12"/>
        <v>5520000</v>
      </c>
      <c r="E22" s="13">
        <f t="shared" si="13"/>
        <v>16671602</v>
      </c>
      <c r="F22" s="13">
        <f t="shared" si="14"/>
        <v>-247772</v>
      </c>
    </row>
    <row r="23" spans="1:13" x14ac:dyDescent="0.25">
      <c r="A23" s="15" t="s">
        <v>44</v>
      </c>
      <c r="B23" s="14"/>
      <c r="C23" s="13">
        <f>C22+35000</f>
        <v>725000</v>
      </c>
      <c r="D23" s="13">
        <f t="shared" si="12"/>
        <v>5800000</v>
      </c>
      <c r="E23" s="13">
        <f t="shared" si="13"/>
        <v>16951602</v>
      </c>
      <c r="F23" s="13">
        <f t="shared" si="14"/>
        <v>-527772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2025-12-23T05:37:44Z</dcterms:modified>
</cp:coreProperties>
</file>