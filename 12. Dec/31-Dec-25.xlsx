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2. Dec\"/>
    </mc:Choice>
  </mc:AlternateContent>
  <xr:revisionPtr revIDLastSave="0" documentId="13_ncr:1_{C1C0527D-3F02-45A6-BA27-F5B2E38E54CC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17" i="1" s="1"/>
  <c r="B16" i="1"/>
  <c r="X12" i="1"/>
  <c r="T12" i="1"/>
  <c r="J12" i="1"/>
  <c r="C12" i="1"/>
  <c r="A16" i="1" s="1"/>
  <c r="X11" i="1"/>
  <c r="T11" i="1"/>
  <c r="L11" i="1" s="1"/>
  <c r="J11" i="1"/>
  <c r="F11" i="1"/>
  <c r="U11" i="1" s="1"/>
  <c r="E11" i="1"/>
  <c r="H11" i="1" s="1"/>
  <c r="X10" i="1"/>
  <c r="T10" i="1"/>
  <c r="J10" i="1"/>
  <c r="F10" i="1"/>
  <c r="G10" i="1" s="1"/>
  <c r="E10" i="1"/>
  <c r="X9" i="1"/>
  <c r="T9" i="1"/>
  <c r="J9" i="1"/>
  <c r="F9" i="1"/>
  <c r="U9" i="1" s="1"/>
  <c r="L9" i="1" s="1"/>
  <c r="E9" i="1"/>
  <c r="X8" i="1"/>
  <c r="T8" i="1"/>
  <c r="J8" i="1"/>
  <c r="F8" i="1"/>
  <c r="G8" i="1" s="1"/>
  <c r="E8" i="1"/>
  <c r="X7" i="1"/>
  <c r="T7" i="1"/>
  <c r="J7" i="1"/>
  <c r="F7" i="1"/>
  <c r="U7" i="1" s="1"/>
  <c r="E7" i="1"/>
  <c r="H7" i="1" s="1"/>
  <c r="X6" i="1"/>
  <c r="T6" i="1"/>
  <c r="J6" i="1"/>
  <c r="F6" i="1"/>
  <c r="G6" i="1" s="1"/>
  <c r="E6" i="1"/>
  <c r="X5" i="1"/>
  <c r="T5" i="1"/>
  <c r="J5" i="1"/>
  <c r="F5" i="1"/>
  <c r="U5" i="1" s="1"/>
  <c r="L5" i="1" s="1"/>
  <c r="E5" i="1"/>
  <c r="X4" i="1"/>
  <c r="T4" i="1"/>
  <c r="J4" i="1"/>
  <c r="F4" i="1"/>
  <c r="E4" i="1"/>
  <c r="H6" i="1" l="1"/>
  <c r="I6" i="1" s="1"/>
  <c r="H10" i="1"/>
  <c r="I10" i="1" s="1"/>
  <c r="H4" i="1"/>
  <c r="I4" i="1" s="1"/>
  <c r="H8" i="1"/>
  <c r="M8" i="1" s="1"/>
  <c r="H5" i="1"/>
  <c r="H9" i="1"/>
  <c r="G5" i="1"/>
  <c r="F12" i="1"/>
  <c r="U12" i="1" s="1"/>
  <c r="L12" i="1" s="1"/>
  <c r="G9" i="1"/>
  <c r="M11" i="1"/>
  <c r="I11" i="1"/>
  <c r="M4" i="1"/>
  <c r="L7" i="1"/>
  <c r="M9" i="1"/>
  <c r="I9" i="1"/>
  <c r="I5" i="1"/>
  <c r="M5" i="1"/>
  <c r="M7" i="1"/>
  <c r="I7" i="1"/>
  <c r="D17" i="1"/>
  <c r="E17" i="1" s="1"/>
  <c r="F17" i="1" s="1"/>
  <c r="C18" i="1"/>
  <c r="U8" i="1"/>
  <c r="L8" i="1" s="1"/>
  <c r="M10" i="1"/>
  <c r="E12" i="1"/>
  <c r="H12" i="1" s="1"/>
  <c r="M6" i="1"/>
  <c r="U6" i="1"/>
  <c r="L6" i="1" s="1"/>
  <c r="G7" i="1"/>
  <c r="U10" i="1"/>
  <c r="L10" i="1" s="1"/>
  <c r="G11" i="1"/>
  <c r="D16" i="1"/>
  <c r="E16" i="1" s="1"/>
  <c r="F16" i="1" s="1"/>
  <c r="U4" i="1"/>
  <c r="L4" i="1" s="1"/>
  <c r="G4" i="1"/>
  <c r="I8" i="1" l="1"/>
  <c r="G12" i="1"/>
  <c r="D18" i="1"/>
  <c r="E18" i="1" s="1"/>
  <c r="F18" i="1" s="1"/>
  <c r="C19" i="1"/>
  <c r="M12" i="1"/>
  <c r="I12" i="1"/>
  <c r="C20" i="1" l="1"/>
  <c r="D19" i="1"/>
  <c r="E19" i="1" s="1"/>
  <c r="F19" i="1" s="1"/>
  <c r="D20" i="1" l="1"/>
  <c r="E20" i="1" s="1"/>
  <c r="F20" i="1" s="1"/>
  <c r="C21" i="1"/>
  <c r="D21" i="1" s="1"/>
  <c r="E21" i="1" s="1"/>
  <c r="F21" i="1" s="1"/>
</calcChain>
</file>

<file path=xl/sharedStrings.xml><?xml version="1.0" encoding="utf-8"?>
<sst xmlns="http://schemas.openxmlformats.org/spreadsheetml/2006/main" count="48" uniqueCount="44">
  <si>
    <t>Plan vs Achievement</t>
  </si>
  <si>
    <t xml:space="preserve">Date: </t>
  </si>
  <si>
    <t>31-Dec-25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</si>
  <si>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</si>
  <si>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</si>
  <si>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</si>
  <si>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</si>
  <si>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</si>
  <si>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</si>
  <si>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</si>
  <si>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</si>
  <si>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</si>
  <si>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</si>
  <si>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</si>
  <si>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</si>
  <si>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</si>
  <si>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</si>
  <si>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</si>
  <si>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</si>
  <si>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</si>
  <si>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</si>
  <si>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</si>
  <si>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</si>
  <si>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</si>
  <si>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</si>
  <si>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</si>
  <si>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</si>
  <si>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</si>
  <si>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JFL</t>
  </si>
  <si>
    <t>JKL</t>
  </si>
  <si>
    <t>MFL</t>
  </si>
  <si>
    <t>FFL2</t>
  </si>
  <si>
    <t>JKL-U2</t>
  </si>
  <si>
    <t>LIN</t>
  </si>
  <si>
    <t>GTAL</t>
  </si>
  <si>
    <t>Grand Total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</si>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</sst>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5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  <xf numFmtId="10" fontId="0" fillId="0" borderId="2" xfId="1" applyNumberFormat="1" applyFont="1" applyBorder="1"/>
    <xf numFmtId="10" fontId="0" fillId="0" borderId="3" xfId="1" applyNumberFormat="1" applyFont="1" applyBorder="1"/>
    <xf numFmtId="10" fontId="6" fillId="2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>
      <selection activeCell="A13" sqref="A13:XFD14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19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98632</v>
      </c>
      <c r="C4" s="9">
        <v>2724653</v>
      </c>
      <c r="D4" s="9">
        <v>2748217</v>
      </c>
      <c r="E4" s="9">
        <f t="shared" ref="E4:E11" si="0">C4-D4</f>
        <v>-23564</v>
      </c>
      <c r="F4" s="9">
        <f t="shared" ref="F4:F11" si="1">C4*W4/V4</f>
        <v>2724653</v>
      </c>
      <c r="G4" s="9">
        <f t="shared" ref="G4:G11" si="2">F4-D4</f>
        <v>-23564</v>
      </c>
      <c r="H4" s="9">
        <f t="shared" ref="H4:H12" si="3">(E4+B4)/(X4+1)</f>
        <v>75068</v>
      </c>
      <c r="I4" s="9">
        <f t="shared" ref="I4:I12" si="4">H4*N4</f>
        <v>529229.4</v>
      </c>
      <c r="J4" s="9">
        <f t="shared" ref="J4:J12" si="5">B4*O4</f>
        <v>670697.6</v>
      </c>
      <c r="K4" s="9">
        <v>104623</v>
      </c>
      <c r="L4" s="16">
        <f t="shared" ref="L4:L12" si="6">T4/U4</f>
        <v>0.97288076553377645</v>
      </c>
      <c r="M4" s="9">
        <f t="shared" ref="M4:M12" si="7">H4/P4</f>
        <v>7506.8</v>
      </c>
      <c r="N4" s="8">
        <v>7.05</v>
      </c>
      <c r="O4" s="8">
        <v>6.8</v>
      </c>
      <c r="P4" s="8">
        <v>10</v>
      </c>
      <c r="Q4" s="8">
        <v>10.43</v>
      </c>
      <c r="R4" s="11">
        <v>0.7</v>
      </c>
      <c r="S4" s="22">
        <v>0.72470000000000001</v>
      </c>
      <c r="T4" s="9">
        <f t="shared" ref="T4:T12" si="8">O4*D4</f>
        <v>18687875.599999998</v>
      </c>
      <c r="U4" s="9">
        <f t="shared" ref="U4:U12" si="9">N4*F4</f>
        <v>19208803.649999999</v>
      </c>
      <c r="V4" s="8">
        <v>26</v>
      </c>
      <c r="W4" s="8">
        <v>26</v>
      </c>
      <c r="X4" s="8">
        <f t="shared" ref="X4:X12" si="10">V4-W4</f>
        <v>0</v>
      </c>
    </row>
    <row r="5" spans="1:24" x14ac:dyDescent="0.25">
      <c r="A5" s="10" t="s">
        <v>28</v>
      </c>
      <c r="B5" s="9">
        <v>47406</v>
      </c>
      <c r="C5" s="9">
        <v>1530868</v>
      </c>
      <c r="D5" s="9">
        <v>1225718</v>
      </c>
      <c r="E5" s="9">
        <f t="shared" si="0"/>
        <v>305150</v>
      </c>
      <c r="F5" s="9">
        <f t="shared" si="1"/>
        <v>1530868</v>
      </c>
      <c r="G5" s="9">
        <f t="shared" si="2"/>
        <v>305150</v>
      </c>
      <c r="H5" s="9">
        <f t="shared" si="3"/>
        <v>352556</v>
      </c>
      <c r="I5" s="9">
        <f t="shared" si="4"/>
        <v>2390329.6800000002</v>
      </c>
      <c r="J5" s="9">
        <f t="shared" si="5"/>
        <v>281591.64</v>
      </c>
      <c r="K5" s="9">
        <v>52661</v>
      </c>
      <c r="L5" s="16">
        <f t="shared" si="6"/>
        <v>0.70147075563886818</v>
      </c>
      <c r="M5" s="9">
        <f t="shared" si="7"/>
        <v>32050.545454545456</v>
      </c>
      <c r="N5" s="8">
        <v>6.78</v>
      </c>
      <c r="O5" s="8">
        <v>5.94</v>
      </c>
      <c r="P5" s="8">
        <v>11</v>
      </c>
      <c r="Q5" s="8">
        <v>10</v>
      </c>
      <c r="R5" s="11">
        <v>0.74</v>
      </c>
      <c r="S5" s="22">
        <v>0.68789999999999996</v>
      </c>
      <c r="T5" s="9">
        <f t="shared" si="8"/>
        <v>7280764.9200000009</v>
      </c>
      <c r="U5" s="9">
        <f t="shared" si="9"/>
        <v>10379285.040000001</v>
      </c>
      <c r="V5" s="8">
        <v>26</v>
      </c>
      <c r="W5" s="8">
        <v>26</v>
      </c>
      <c r="X5" s="8">
        <f t="shared" si="10"/>
        <v>0</v>
      </c>
    </row>
    <row r="6" spans="1:24" x14ac:dyDescent="0.25">
      <c r="A6" s="10" t="s">
        <v>29</v>
      </c>
      <c r="B6" s="9">
        <v>101147</v>
      </c>
      <c r="C6" s="9">
        <v>2684219</v>
      </c>
      <c r="D6" s="9">
        <v>2133676</v>
      </c>
      <c r="E6" s="9">
        <f t="shared" si="0"/>
        <v>550543</v>
      </c>
      <c r="F6" s="9">
        <f t="shared" si="1"/>
        <v>2684219</v>
      </c>
      <c r="G6" s="9">
        <f t="shared" si="2"/>
        <v>550543</v>
      </c>
      <c r="H6" s="9">
        <f t="shared" si="3"/>
        <v>651690</v>
      </c>
      <c r="I6" s="9">
        <f t="shared" si="4"/>
        <v>5480712.9000000004</v>
      </c>
      <c r="J6" s="9">
        <f t="shared" si="5"/>
        <v>765682.79</v>
      </c>
      <c r="K6" s="9">
        <v>109747</v>
      </c>
      <c r="L6" s="16">
        <f t="shared" si="6"/>
        <v>0.71550127132527486</v>
      </c>
      <c r="M6" s="9">
        <f t="shared" si="7"/>
        <v>65169</v>
      </c>
      <c r="N6" s="8">
        <v>8.41</v>
      </c>
      <c r="O6" s="8">
        <v>7.57</v>
      </c>
      <c r="P6" s="8">
        <v>10</v>
      </c>
      <c r="Q6" s="8">
        <v>10.029999999999999</v>
      </c>
      <c r="R6" s="11">
        <v>0.63</v>
      </c>
      <c r="S6" s="22">
        <v>0.60629999999999995</v>
      </c>
      <c r="T6" s="9">
        <f t="shared" si="8"/>
        <v>16151927.32</v>
      </c>
      <c r="U6" s="9">
        <f t="shared" si="9"/>
        <v>22574281.789999999</v>
      </c>
      <c r="V6" s="8">
        <v>26</v>
      </c>
      <c r="W6" s="8">
        <v>26</v>
      </c>
      <c r="X6" s="8">
        <f t="shared" si="10"/>
        <v>0</v>
      </c>
    </row>
    <row r="7" spans="1:24" x14ac:dyDescent="0.25">
      <c r="A7" s="10" t="s">
        <v>30</v>
      </c>
      <c r="B7" s="9">
        <v>81735</v>
      </c>
      <c r="C7" s="9">
        <v>2343006</v>
      </c>
      <c r="D7" s="9">
        <v>1823568</v>
      </c>
      <c r="E7" s="9">
        <f t="shared" si="0"/>
        <v>519438</v>
      </c>
      <c r="F7" s="9">
        <f t="shared" si="1"/>
        <v>2343006</v>
      </c>
      <c r="G7" s="9">
        <f t="shared" si="2"/>
        <v>519438</v>
      </c>
      <c r="H7" s="9">
        <f t="shared" si="3"/>
        <v>601173</v>
      </c>
      <c r="I7" s="9">
        <f t="shared" si="4"/>
        <v>4436656.74</v>
      </c>
      <c r="J7" s="9">
        <f t="shared" si="5"/>
        <v>585222.6</v>
      </c>
      <c r="K7" s="9">
        <v>89382</v>
      </c>
      <c r="L7" s="16">
        <f t="shared" si="6"/>
        <v>0.75510130759756611</v>
      </c>
      <c r="M7" s="9">
        <f t="shared" si="7"/>
        <v>60117.3</v>
      </c>
      <c r="N7" s="8">
        <v>7.38</v>
      </c>
      <c r="O7" s="8">
        <v>7.16</v>
      </c>
      <c r="P7" s="8">
        <v>10</v>
      </c>
      <c r="Q7" s="8">
        <v>8.76</v>
      </c>
      <c r="R7" s="11">
        <v>0.71</v>
      </c>
      <c r="S7" s="22">
        <v>0.66930000000000001</v>
      </c>
      <c r="T7" s="9">
        <f t="shared" si="8"/>
        <v>13056746.880000001</v>
      </c>
      <c r="U7" s="9">
        <f t="shared" si="9"/>
        <v>17291384.280000001</v>
      </c>
      <c r="V7" s="8">
        <v>26</v>
      </c>
      <c r="W7" s="8">
        <v>26</v>
      </c>
      <c r="X7" s="8">
        <f t="shared" si="10"/>
        <v>0</v>
      </c>
    </row>
    <row r="8" spans="1:24" x14ac:dyDescent="0.25">
      <c r="A8" s="10" t="s">
        <v>31</v>
      </c>
      <c r="B8" s="9">
        <v>109708</v>
      </c>
      <c r="C8" s="9">
        <v>3107863</v>
      </c>
      <c r="D8" s="9">
        <v>2893168</v>
      </c>
      <c r="E8" s="9">
        <f t="shared" si="0"/>
        <v>214695</v>
      </c>
      <c r="F8" s="9">
        <f t="shared" si="1"/>
        <v>3107863</v>
      </c>
      <c r="G8" s="9">
        <f t="shared" si="2"/>
        <v>214695</v>
      </c>
      <c r="H8" s="9">
        <f t="shared" si="3"/>
        <v>324403</v>
      </c>
      <c r="I8" s="9">
        <f t="shared" si="4"/>
        <v>2118351.59</v>
      </c>
      <c r="J8" s="9">
        <f t="shared" si="5"/>
        <v>695548.72</v>
      </c>
      <c r="K8" s="9">
        <v>131369</v>
      </c>
      <c r="L8" s="16">
        <f t="shared" si="6"/>
        <v>0.90383231227740535</v>
      </c>
      <c r="M8" s="9">
        <f t="shared" si="7"/>
        <v>32440.3</v>
      </c>
      <c r="N8" s="8">
        <v>6.53</v>
      </c>
      <c r="O8" s="8">
        <v>6.34</v>
      </c>
      <c r="P8" s="8">
        <v>10</v>
      </c>
      <c r="Q8" s="8">
        <v>12.02</v>
      </c>
      <c r="R8" s="11">
        <v>0.68</v>
      </c>
      <c r="S8" s="22">
        <v>0.68130000000000002</v>
      </c>
      <c r="T8" s="9">
        <f t="shared" si="8"/>
        <v>18342685.120000001</v>
      </c>
      <c r="U8" s="9">
        <f t="shared" si="9"/>
        <v>20294345.390000001</v>
      </c>
      <c r="V8" s="8">
        <v>26</v>
      </c>
      <c r="W8" s="8">
        <v>26</v>
      </c>
      <c r="X8" s="8">
        <f t="shared" si="10"/>
        <v>0</v>
      </c>
    </row>
    <row r="9" spans="1:24" ht="14.25" customHeight="1" x14ac:dyDescent="0.25">
      <c r="A9" s="10" t="s">
        <v>32</v>
      </c>
      <c r="B9" s="9">
        <v>121295</v>
      </c>
      <c r="C9" s="9">
        <v>4032281</v>
      </c>
      <c r="D9" s="9">
        <v>3565563</v>
      </c>
      <c r="E9" s="9">
        <f t="shared" si="0"/>
        <v>466718</v>
      </c>
      <c r="F9" s="9">
        <f t="shared" si="1"/>
        <v>4032281</v>
      </c>
      <c r="G9" s="9">
        <f t="shared" si="2"/>
        <v>466718</v>
      </c>
      <c r="H9" s="9">
        <f t="shared" si="3"/>
        <v>588013</v>
      </c>
      <c r="I9" s="9">
        <f t="shared" si="4"/>
        <v>4645302.7</v>
      </c>
      <c r="J9" s="9">
        <f t="shared" si="5"/>
        <v>947313.95</v>
      </c>
      <c r="K9" s="9">
        <v>126548</v>
      </c>
      <c r="L9" s="16">
        <f t="shared" si="6"/>
        <v>0.87418080784184338</v>
      </c>
      <c r="M9" s="9">
        <f t="shared" si="7"/>
        <v>58801.3</v>
      </c>
      <c r="N9" s="8">
        <v>7.9</v>
      </c>
      <c r="O9" s="8">
        <v>7.81</v>
      </c>
      <c r="P9" s="8">
        <v>10</v>
      </c>
      <c r="Q9" s="8">
        <v>10.02</v>
      </c>
      <c r="R9" s="11">
        <v>0.68</v>
      </c>
      <c r="S9" s="22">
        <v>0.68289999999999995</v>
      </c>
      <c r="T9" s="9">
        <f t="shared" si="8"/>
        <v>27847047.029999997</v>
      </c>
      <c r="U9" s="9">
        <f t="shared" si="9"/>
        <v>31855019.900000002</v>
      </c>
      <c r="V9" s="8">
        <v>26</v>
      </c>
      <c r="W9" s="8">
        <v>26</v>
      </c>
      <c r="X9" s="8">
        <f t="shared" si="10"/>
        <v>0</v>
      </c>
    </row>
    <row r="10" spans="1:24" ht="14.25" customHeight="1" x14ac:dyDescent="0.25">
      <c r="A10" s="10" t="s">
        <v>33</v>
      </c>
      <c r="B10" s="9">
        <v>152495</v>
      </c>
      <c r="C10" s="9">
        <v>3336726</v>
      </c>
      <c r="D10" s="9">
        <v>3424974</v>
      </c>
      <c r="E10" s="9">
        <f t="shared" si="0"/>
        <v>-88248</v>
      </c>
      <c r="F10" s="9">
        <f t="shared" si="1"/>
        <v>3336726</v>
      </c>
      <c r="G10" s="9">
        <f t="shared" si="2"/>
        <v>-88248</v>
      </c>
      <c r="H10" s="9">
        <f t="shared" si="3"/>
        <v>64247</v>
      </c>
      <c r="I10" s="9">
        <f t="shared" si="4"/>
        <v>269194.93000000005</v>
      </c>
      <c r="J10" s="9">
        <f t="shared" si="5"/>
        <v>645053.85000000009</v>
      </c>
      <c r="K10" s="9">
        <v>157502</v>
      </c>
      <c r="L10" s="16">
        <f t="shared" si="6"/>
        <v>1.0362465030585903</v>
      </c>
      <c r="M10" s="9">
        <f t="shared" si="7"/>
        <v>6373.7103174603171</v>
      </c>
      <c r="N10" s="8">
        <v>4.1900000000000004</v>
      </c>
      <c r="O10" s="8">
        <v>4.2300000000000004</v>
      </c>
      <c r="P10" s="8">
        <v>10.08</v>
      </c>
      <c r="Q10" s="8">
        <v>10.08</v>
      </c>
      <c r="R10" s="11">
        <v>0.79</v>
      </c>
      <c r="S10" s="22">
        <v>0.74509999999999998</v>
      </c>
      <c r="T10" s="9">
        <f t="shared" si="8"/>
        <v>14487640.020000001</v>
      </c>
      <c r="U10" s="9">
        <f t="shared" si="9"/>
        <v>13980881.940000001</v>
      </c>
      <c r="V10" s="8">
        <v>26</v>
      </c>
      <c r="W10" s="8">
        <v>26</v>
      </c>
      <c r="X10" s="8">
        <f t="shared" si="10"/>
        <v>0</v>
      </c>
    </row>
    <row r="11" spans="1:24" ht="14.25" customHeight="1" thickBot="1" x14ac:dyDescent="0.3">
      <c r="A11" s="20" t="s">
        <v>34</v>
      </c>
      <c r="B11" s="21">
        <v>20467</v>
      </c>
      <c r="C11" s="21">
        <v>0</v>
      </c>
      <c r="D11" s="21">
        <v>783823</v>
      </c>
      <c r="E11" s="9">
        <f t="shared" si="0"/>
        <v>-783823</v>
      </c>
      <c r="F11" s="9">
        <f t="shared" si="1"/>
        <v>0</v>
      </c>
      <c r="G11" s="9">
        <f t="shared" si="2"/>
        <v>-783823</v>
      </c>
      <c r="H11" s="9">
        <f t="shared" si="3"/>
        <v>-763356</v>
      </c>
      <c r="I11" s="9">
        <f t="shared" si="4"/>
        <v>0</v>
      </c>
      <c r="J11" s="9">
        <f t="shared" si="5"/>
        <v>92715.510000000009</v>
      </c>
      <c r="K11" s="9">
        <v>34202</v>
      </c>
      <c r="L11" s="16" t="e">
        <f t="shared" si="6"/>
        <v>#DIV/0!</v>
      </c>
      <c r="M11" s="9" t="e">
        <f t="shared" si="7"/>
        <v>#DIV/0!</v>
      </c>
      <c r="N11" s="17"/>
      <c r="O11" s="17">
        <v>4.53</v>
      </c>
      <c r="P11" s="17"/>
      <c r="Q11" s="17">
        <v>8.23</v>
      </c>
      <c r="R11" s="18"/>
      <c r="S11" s="23">
        <v>0.47870000000000001</v>
      </c>
      <c r="T11" s="9">
        <f t="shared" si="8"/>
        <v>3550718.1900000004</v>
      </c>
      <c r="U11" s="9">
        <f t="shared" si="9"/>
        <v>0</v>
      </c>
      <c r="V11" s="8">
        <v>26</v>
      </c>
      <c r="W11" s="8">
        <v>26</v>
      </c>
      <c r="X11" s="8">
        <f t="shared" si="10"/>
        <v>0</v>
      </c>
    </row>
    <row r="12" spans="1:24" ht="27.75" customHeight="1" thickTop="1" thickBot="1" x14ac:dyDescent="0.3">
      <c r="A12" s="6" t="s">
        <v>35</v>
      </c>
      <c r="B12" s="7">
        <v>732885</v>
      </c>
      <c r="C12" s="7">
        <f>SUM(C4:C9)</f>
        <v>16422890</v>
      </c>
      <c r="D12" s="7">
        <v>18598707</v>
      </c>
      <c r="E12" s="7">
        <f>SUM(E4:E9)</f>
        <v>2032980</v>
      </c>
      <c r="F12" s="7">
        <f>SUM(F4:F9)</f>
        <v>16422890</v>
      </c>
      <c r="G12" s="7">
        <f>SUM(G4:G9)</f>
        <v>2032980</v>
      </c>
      <c r="H12" s="7">
        <f t="shared" si="3"/>
        <v>2765865</v>
      </c>
      <c r="I12" s="7">
        <f t="shared" si="4"/>
        <v>20412083.699999999</v>
      </c>
      <c r="J12" s="7">
        <f t="shared" si="5"/>
        <v>4741765.95</v>
      </c>
      <c r="K12" s="7">
        <v>806034</v>
      </c>
      <c r="L12" s="12">
        <f t="shared" si="6"/>
        <v>0.99284416445582957</v>
      </c>
      <c r="M12" s="7">
        <f t="shared" si="7"/>
        <v>276586.5</v>
      </c>
      <c r="N12" s="6">
        <v>7.38</v>
      </c>
      <c r="O12" s="6">
        <v>6.47</v>
      </c>
      <c r="P12" s="6">
        <v>10</v>
      </c>
      <c r="Q12" s="6">
        <v>10.050000000000001</v>
      </c>
      <c r="R12" s="12">
        <v>0.68630000000000002</v>
      </c>
      <c r="S12" s="24">
        <v>0.67359999999999998</v>
      </c>
      <c r="T12" s="7">
        <f t="shared" si="8"/>
        <v>120333634.28999999</v>
      </c>
      <c r="U12" s="7">
        <f t="shared" si="9"/>
        <v>121200928.2</v>
      </c>
      <c r="V12" s="6">
        <v>26</v>
      </c>
      <c r="W12" s="6">
        <v>26</v>
      </c>
      <c r="X12" s="6">
        <f t="shared" si="10"/>
        <v>0</v>
      </c>
    </row>
    <row r="13" spans="1:24" ht="15.75" thickTop="1" x14ac:dyDescent="0.25">
      <c r="C13" s="2"/>
      <c r="D13" s="2"/>
      <c r="E13" s="1"/>
      <c r="H13" s="2"/>
      <c r="L13" s="1"/>
    </row>
    <row r="14" spans="1:24" ht="15.75" customHeight="1" thickBot="1" x14ac:dyDescent="0.3">
      <c r="A14" s="5" t="s">
        <v>36</v>
      </c>
      <c r="M14" s="1"/>
    </row>
    <row r="15" spans="1:24" ht="61.5" customHeight="1" thickTop="1" thickBot="1" x14ac:dyDescent="0.3">
      <c r="A15" s="6" t="s">
        <v>37</v>
      </c>
      <c r="B15" s="6" t="s">
        <v>38</v>
      </c>
      <c r="C15" s="6" t="s">
        <v>39</v>
      </c>
      <c r="D15" s="6" t="s">
        <v>40</v>
      </c>
      <c r="E15" s="6" t="s">
        <v>41</v>
      </c>
      <c r="F15" s="6" t="s">
        <v>42</v>
      </c>
      <c r="J15" s="1"/>
    </row>
    <row r="16" spans="1:24" ht="15.75" customHeight="1" thickTop="1" x14ac:dyDescent="0.25">
      <c r="A16" s="13">
        <f>C12</f>
        <v>16422890</v>
      </c>
      <c r="B16" s="13">
        <f>D12</f>
        <v>18598707</v>
      </c>
      <c r="C16" s="13">
        <f>QUOTIENT(B12,10000)*10000</f>
        <v>730000</v>
      </c>
      <c r="D16" s="13">
        <f t="shared" ref="D16:D21" si="11">C16*$X$12</f>
        <v>0</v>
      </c>
      <c r="E16" s="13">
        <f t="shared" ref="E16:E21" si="12">$D$12+D16</f>
        <v>18598707</v>
      </c>
      <c r="F16" s="13">
        <f t="shared" ref="F16:F21" si="13">$C$12-E16</f>
        <v>-2175817</v>
      </c>
      <c r="M16" s="1"/>
    </row>
    <row r="17" spans="1:13" x14ac:dyDescent="0.25">
      <c r="A17" s="15" t="s">
        <v>43</v>
      </c>
      <c r="B17" s="14"/>
      <c r="C17" s="13">
        <f>C16+35000</f>
        <v>765000</v>
      </c>
      <c r="D17" s="13">
        <f t="shared" si="11"/>
        <v>0</v>
      </c>
      <c r="E17" s="13">
        <f t="shared" si="12"/>
        <v>18598707</v>
      </c>
      <c r="F17" s="13">
        <f t="shared" si="13"/>
        <v>-2175817</v>
      </c>
      <c r="M17" s="1"/>
    </row>
    <row r="18" spans="1:13" x14ac:dyDescent="0.25">
      <c r="A18" s="15" t="s">
        <v>43</v>
      </c>
      <c r="B18" s="14"/>
      <c r="C18" s="13">
        <f>C17+35000</f>
        <v>800000</v>
      </c>
      <c r="D18" s="13">
        <f t="shared" si="11"/>
        <v>0</v>
      </c>
      <c r="E18" s="13">
        <f t="shared" si="12"/>
        <v>18598707</v>
      </c>
      <c r="F18" s="13">
        <f t="shared" si="13"/>
        <v>-2175817</v>
      </c>
    </row>
    <row r="19" spans="1:13" x14ac:dyDescent="0.25">
      <c r="A19" s="15" t="s">
        <v>43</v>
      </c>
      <c r="B19" s="14"/>
      <c r="C19" s="13">
        <f>C18+35000</f>
        <v>835000</v>
      </c>
      <c r="D19" s="13">
        <f t="shared" si="11"/>
        <v>0</v>
      </c>
      <c r="E19" s="13">
        <f t="shared" si="12"/>
        <v>18598707</v>
      </c>
      <c r="F19" s="13">
        <f t="shared" si="13"/>
        <v>-2175817</v>
      </c>
    </row>
    <row r="20" spans="1:13" x14ac:dyDescent="0.25">
      <c r="A20" s="15" t="s">
        <v>43</v>
      </c>
      <c r="B20" s="14"/>
      <c r="C20" s="13">
        <f>C19+35000</f>
        <v>870000</v>
      </c>
      <c r="D20" s="13">
        <f t="shared" si="11"/>
        <v>0</v>
      </c>
      <c r="E20" s="13">
        <f t="shared" si="12"/>
        <v>18598707</v>
      </c>
      <c r="F20" s="13">
        <f t="shared" si="13"/>
        <v>-2175817</v>
      </c>
    </row>
    <row r="21" spans="1:13" x14ac:dyDescent="0.25">
      <c r="A21" s="15" t="s">
        <v>43</v>
      </c>
      <c r="B21" s="14"/>
      <c r="C21" s="13">
        <f>C20+35000</f>
        <v>905000</v>
      </c>
      <c r="D21" s="13">
        <f t="shared" si="11"/>
        <v>0</v>
      </c>
      <c r="E21" s="13">
        <f t="shared" si="12"/>
        <v>18598707</v>
      </c>
      <c r="F21" s="13">
        <f t="shared" si="13"/>
        <v>-2175817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2026-01-01T10:11:46Z</dcterms:modified>
</cp:coreProperties>
</file>