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2. Dec\"/>
    </mc:Choice>
  </mc:AlternateContent>
  <xr:revisionPtr revIDLastSave="0" documentId="13_ncr:1_{18E3A4CA-9B04-43E9-B575-31C9E8946C7A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3" i="1" l="1"/>
  <c r="H13" i="1" s="1"/>
  <c r="T13" i="1"/>
  <c r="J13" i="1"/>
  <c r="F13" i="1"/>
  <c r="U13" i="1" s="1"/>
  <c r="L13" i="1" s="1"/>
  <c r="E13" i="1"/>
  <c r="X12" i="1"/>
  <c r="S12" i="1"/>
  <c r="Q12" i="1"/>
  <c r="O12" i="1"/>
  <c r="T12" i="1" s="1"/>
  <c r="K12" i="1"/>
  <c r="D12" i="1"/>
  <c r="B18" i="1" s="1"/>
  <c r="C12" i="1"/>
  <c r="B12" i="1"/>
  <c r="J12" i="1" s="1"/>
  <c r="X11" i="1"/>
  <c r="H11" i="1" s="1"/>
  <c r="I11" i="1" s="1"/>
  <c r="T11" i="1"/>
  <c r="J11" i="1"/>
  <c r="F11" i="1"/>
  <c r="G11" i="1" s="1"/>
  <c r="E11" i="1"/>
  <c r="X10" i="1"/>
  <c r="H10" i="1" s="1"/>
  <c r="T10" i="1"/>
  <c r="J10" i="1"/>
  <c r="F10" i="1"/>
  <c r="U10" i="1" s="1"/>
  <c r="L10" i="1" s="1"/>
  <c r="E10" i="1"/>
  <c r="X9" i="1"/>
  <c r="H9" i="1" s="1"/>
  <c r="T9" i="1"/>
  <c r="J9" i="1"/>
  <c r="F9" i="1"/>
  <c r="G9" i="1" s="1"/>
  <c r="E9" i="1"/>
  <c r="X8" i="1"/>
  <c r="T8" i="1"/>
  <c r="J8" i="1"/>
  <c r="F8" i="1"/>
  <c r="G8" i="1" s="1"/>
  <c r="E8" i="1"/>
  <c r="X7" i="1"/>
  <c r="H7" i="1" s="1"/>
  <c r="I7" i="1" s="1"/>
  <c r="T7" i="1"/>
  <c r="J7" i="1"/>
  <c r="F7" i="1"/>
  <c r="G7" i="1" s="1"/>
  <c r="E7" i="1"/>
  <c r="X6" i="1"/>
  <c r="H6" i="1" s="1"/>
  <c r="T6" i="1"/>
  <c r="J6" i="1"/>
  <c r="F6" i="1"/>
  <c r="U6" i="1" s="1"/>
  <c r="L6" i="1" s="1"/>
  <c r="E6" i="1"/>
  <c r="X5" i="1"/>
  <c r="H5" i="1" s="1"/>
  <c r="T5" i="1"/>
  <c r="J5" i="1"/>
  <c r="F5" i="1"/>
  <c r="G5" i="1" s="1"/>
  <c r="E5" i="1"/>
  <c r="X4" i="1"/>
  <c r="T4" i="1"/>
  <c r="J4" i="1"/>
  <c r="F4" i="1"/>
  <c r="G4" i="1" s="1"/>
  <c r="E4" i="1"/>
  <c r="E12" i="1" s="1"/>
  <c r="G10" i="1" l="1"/>
  <c r="H8" i="1"/>
  <c r="M8" i="1" s="1"/>
  <c r="G13" i="1"/>
  <c r="G6" i="1"/>
  <c r="G12" i="1" s="1"/>
  <c r="I8" i="1"/>
  <c r="L4" i="1"/>
  <c r="I6" i="1"/>
  <c r="M6" i="1"/>
  <c r="I9" i="1"/>
  <c r="M9" i="1"/>
  <c r="H12" i="1"/>
  <c r="I5" i="1"/>
  <c r="M5" i="1"/>
  <c r="I10" i="1"/>
  <c r="M10" i="1"/>
  <c r="I13" i="1"/>
  <c r="M13" i="1"/>
  <c r="C18" i="1"/>
  <c r="U5" i="1"/>
  <c r="L5" i="1" s="1"/>
  <c r="M7" i="1"/>
  <c r="U9" i="1"/>
  <c r="L9" i="1" s="1"/>
  <c r="M11" i="1"/>
  <c r="F12" i="1"/>
  <c r="U12" i="1" s="1"/>
  <c r="L12" i="1" s="1"/>
  <c r="U4" i="1"/>
  <c r="U8" i="1"/>
  <c r="L8" i="1" s="1"/>
  <c r="U7" i="1"/>
  <c r="L7" i="1" s="1"/>
  <c r="U11" i="1"/>
  <c r="L11" i="1" s="1"/>
  <c r="A18" i="1"/>
  <c r="H4" i="1"/>
  <c r="M4" i="1" l="1"/>
  <c r="I4" i="1"/>
  <c r="D18" i="1"/>
  <c r="E18" i="1" s="1"/>
  <c r="F18" i="1" s="1"/>
  <c r="C19" i="1"/>
  <c r="M12" i="1"/>
  <c r="I12" i="1"/>
  <c r="D19" i="1" l="1"/>
  <c r="E19" i="1" s="1"/>
  <c r="F19" i="1" s="1"/>
  <c r="C20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<sst xmlns="http://schemas.openxmlformats.org/spreadsheetml/2006/main" count="49" uniqueCount="45">
  <si>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</si>
  <si>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</si>
  <si>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23-Dec-25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</si>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</sst>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E4" sqref="E4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93079</v>
      </c>
      <c r="C4" s="9">
        <v>3046419</v>
      </c>
      <c r="D4" s="9">
        <v>1862516</v>
      </c>
      <c r="E4" s="9">
        <f t="shared" ref="E4:E11" si="0">C4-D4</f>
        <v>1183903</v>
      </c>
      <c r="F4" s="9">
        <f t="shared" ref="F4:F11" si="1">C4*W4/V4</f>
        <v>2256606.6666666665</v>
      </c>
      <c r="G4" s="9">
        <f t="shared" ref="G4:G11" si="2">F4-D4</f>
        <v>394090.66666666651</v>
      </c>
      <c r="H4" s="9">
        <f t="shared" ref="H4:H13" si="3">(E4+B4)/(X4+1)</f>
        <v>159622.75</v>
      </c>
      <c r="I4" s="9">
        <f t="shared" ref="I4:I13" si="4">H4*N4</f>
        <v>1125340.3875</v>
      </c>
      <c r="J4" s="9">
        <f t="shared" ref="J4:J13" si="5">B4*O4</f>
        <v>653414.57999999996</v>
      </c>
      <c r="K4" s="9">
        <v>93335</v>
      </c>
      <c r="L4" s="16">
        <f t="shared" ref="L4:L13" si="6">T4/U4</f>
        <v>0.82184920721673549</v>
      </c>
      <c r="M4" s="9">
        <f t="shared" ref="M4:M13" si="7">H4/P4</f>
        <v>15962.275</v>
      </c>
      <c r="N4" s="8">
        <v>7.05</v>
      </c>
      <c r="O4" s="8">
        <v>7.02</v>
      </c>
      <c r="P4" s="8">
        <v>10</v>
      </c>
      <c r="Q4" s="8">
        <v>10.89</v>
      </c>
      <c r="R4" s="11">
        <v>0.7</v>
      </c>
      <c r="S4" s="11">
        <v>0.72770000000000001</v>
      </c>
      <c r="T4" s="9">
        <f t="shared" ref="T4:T13" si="8">O4*D4</f>
        <v>13074862.319999998</v>
      </c>
      <c r="U4" s="9">
        <f t="shared" ref="U4:U13" si="9">N4*F4</f>
        <v>15909076.999999998</v>
      </c>
      <c r="V4" s="8">
        <v>27</v>
      </c>
      <c r="W4" s="8">
        <v>20</v>
      </c>
      <c r="X4" s="8">
        <f t="shared" ref="X4:X13" si="10">V4-W4</f>
        <v>7</v>
      </c>
    </row>
    <row r="5" spans="1:24" x14ac:dyDescent="0.25">
      <c r="A5" s="10" t="s">
        <v>28</v>
      </c>
      <c r="B5" s="9">
        <v>13860</v>
      </c>
      <c r="C5" s="9">
        <v>350940</v>
      </c>
      <c r="D5" s="9">
        <v>262070</v>
      </c>
      <c r="E5" s="9">
        <f t="shared" si="0"/>
        <v>88870</v>
      </c>
      <c r="F5" s="9">
        <f t="shared" si="1"/>
        <v>259955.55555555556</v>
      </c>
      <c r="G5" s="9">
        <f t="shared" si="2"/>
        <v>-2114.444444444438</v>
      </c>
      <c r="H5" s="9">
        <f t="shared" si="3"/>
        <v>12841.25</v>
      </c>
      <c r="I5" s="9">
        <f t="shared" si="4"/>
        <v>90530.8125</v>
      </c>
      <c r="J5" s="9">
        <f t="shared" si="5"/>
        <v>79556.400000000009</v>
      </c>
      <c r="K5" s="9">
        <v>11470</v>
      </c>
      <c r="L5" s="16">
        <f t="shared" si="6"/>
        <v>0.82080686642197431</v>
      </c>
      <c r="M5" s="17">
        <f t="shared" si="7"/>
        <v>1284.125</v>
      </c>
      <c r="N5" s="8">
        <v>7.05</v>
      </c>
      <c r="O5" s="8">
        <v>5.74</v>
      </c>
      <c r="P5" s="8">
        <v>10</v>
      </c>
      <c r="Q5" s="8">
        <v>11.01</v>
      </c>
      <c r="R5" s="11">
        <v>0.7</v>
      </c>
      <c r="S5" s="11">
        <v>0.75150000000000006</v>
      </c>
      <c r="T5" s="9">
        <f t="shared" si="8"/>
        <v>1504281.8</v>
      </c>
      <c r="U5" s="9">
        <f t="shared" si="9"/>
        <v>1832686.6666666667</v>
      </c>
      <c r="V5" s="8">
        <v>27</v>
      </c>
      <c r="W5" s="8">
        <v>20</v>
      </c>
      <c r="X5" s="8">
        <f t="shared" si="10"/>
        <v>7</v>
      </c>
    </row>
    <row r="6" spans="1:24" x14ac:dyDescent="0.25">
      <c r="A6" s="10" t="s">
        <v>29</v>
      </c>
      <c r="B6" s="9">
        <v>45847</v>
      </c>
      <c r="C6" s="9">
        <v>1530868</v>
      </c>
      <c r="D6" s="9">
        <v>957077</v>
      </c>
      <c r="E6" s="9">
        <f t="shared" si="0"/>
        <v>573791</v>
      </c>
      <c r="F6" s="9">
        <f t="shared" si="1"/>
        <v>1133976.2962962964</v>
      </c>
      <c r="G6" s="9">
        <f t="shared" si="2"/>
        <v>176899.29629629641</v>
      </c>
      <c r="H6" s="9">
        <f t="shared" si="3"/>
        <v>77454.75</v>
      </c>
      <c r="I6" s="9">
        <f t="shared" si="4"/>
        <v>525143.20500000007</v>
      </c>
      <c r="J6" s="9">
        <f t="shared" si="5"/>
        <v>273706.58999999997</v>
      </c>
      <c r="K6" s="9">
        <v>45299</v>
      </c>
      <c r="L6" s="16">
        <f t="shared" si="6"/>
        <v>0.74316892269296397</v>
      </c>
      <c r="M6" s="9">
        <f t="shared" si="7"/>
        <v>7041.340909090909</v>
      </c>
      <c r="N6" s="8">
        <v>6.78</v>
      </c>
      <c r="O6" s="8">
        <v>5.97</v>
      </c>
      <c r="P6" s="8">
        <v>11</v>
      </c>
      <c r="Q6" s="8">
        <v>10.42</v>
      </c>
      <c r="R6" s="11">
        <v>0.74</v>
      </c>
      <c r="S6" s="11">
        <v>0.68920000000000003</v>
      </c>
      <c r="T6" s="9">
        <f t="shared" si="8"/>
        <v>5713749.6899999995</v>
      </c>
      <c r="U6" s="9">
        <f t="shared" si="9"/>
        <v>7688359.2888888903</v>
      </c>
      <c r="V6" s="8">
        <v>27</v>
      </c>
      <c r="W6" s="8">
        <v>20</v>
      </c>
      <c r="X6" s="8">
        <f t="shared" si="10"/>
        <v>7</v>
      </c>
    </row>
    <row r="7" spans="1:24" x14ac:dyDescent="0.25">
      <c r="A7" s="10" t="s">
        <v>30</v>
      </c>
      <c r="B7" s="9">
        <v>79482</v>
      </c>
      <c r="C7" s="9">
        <v>2273631</v>
      </c>
      <c r="D7" s="9">
        <v>1583668</v>
      </c>
      <c r="E7" s="9">
        <f t="shared" si="0"/>
        <v>689963</v>
      </c>
      <c r="F7" s="9">
        <f t="shared" si="1"/>
        <v>1684171.111111111</v>
      </c>
      <c r="G7" s="9">
        <f t="shared" si="2"/>
        <v>100503.11111111101</v>
      </c>
      <c r="H7" s="9">
        <f t="shared" si="3"/>
        <v>96180.625</v>
      </c>
      <c r="I7" s="9">
        <f t="shared" si="4"/>
        <v>808879.05625000002</v>
      </c>
      <c r="J7" s="9">
        <f t="shared" si="5"/>
        <v>619164.78</v>
      </c>
      <c r="K7" s="9">
        <v>88665</v>
      </c>
      <c r="L7" s="16">
        <f t="shared" si="6"/>
        <v>0.87100247617822635</v>
      </c>
      <c r="M7" s="9">
        <f t="shared" si="7"/>
        <v>9618.0625</v>
      </c>
      <c r="N7" s="8">
        <v>8.41</v>
      </c>
      <c r="O7" s="8">
        <v>7.79</v>
      </c>
      <c r="P7" s="8">
        <v>10</v>
      </c>
      <c r="Q7" s="8">
        <v>10.06</v>
      </c>
      <c r="R7" s="11">
        <v>0.63</v>
      </c>
      <c r="S7" s="11">
        <v>0.60819999999999996</v>
      </c>
      <c r="T7" s="9">
        <f t="shared" si="8"/>
        <v>12336773.720000001</v>
      </c>
      <c r="U7" s="9">
        <f t="shared" si="9"/>
        <v>14163879.044444444</v>
      </c>
      <c r="V7" s="8">
        <v>27</v>
      </c>
      <c r="W7" s="8">
        <v>20</v>
      </c>
      <c r="X7" s="8">
        <f t="shared" si="10"/>
        <v>7</v>
      </c>
    </row>
    <row r="8" spans="1:24" x14ac:dyDescent="0.25">
      <c r="A8" s="10" t="s">
        <v>31</v>
      </c>
      <c r="B8" s="9">
        <v>74924</v>
      </c>
      <c r="C8" s="9">
        <v>2343006</v>
      </c>
      <c r="D8" s="9">
        <v>1371564</v>
      </c>
      <c r="E8" s="9">
        <f t="shared" si="0"/>
        <v>971442</v>
      </c>
      <c r="F8" s="9">
        <f t="shared" si="1"/>
        <v>1735560</v>
      </c>
      <c r="G8" s="9">
        <f t="shared" si="2"/>
        <v>363996</v>
      </c>
      <c r="H8" s="9">
        <f t="shared" si="3"/>
        <v>130795.75</v>
      </c>
      <c r="I8" s="9">
        <f t="shared" si="4"/>
        <v>965272.63500000001</v>
      </c>
      <c r="J8" s="9">
        <f t="shared" si="5"/>
        <v>531960.4</v>
      </c>
      <c r="K8" s="9">
        <v>78330</v>
      </c>
      <c r="L8" s="16">
        <f t="shared" si="6"/>
        <v>0.76028851867029357</v>
      </c>
      <c r="M8" s="9">
        <f t="shared" si="7"/>
        <v>13079.575000000001</v>
      </c>
      <c r="N8" s="8">
        <v>7.38</v>
      </c>
      <c r="O8" s="8">
        <v>7.1</v>
      </c>
      <c r="P8" s="8">
        <v>10</v>
      </c>
      <c r="Q8" s="8">
        <v>8.73</v>
      </c>
      <c r="R8" s="11">
        <v>0.71</v>
      </c>
      <c r="S8" s="11">
        <v>0.67090000000000005</v>
      </c>
      <c r="T8" s="9">
        <f t="shared" si="8"/>
        <v>9738104.4000000004</v>
      </c>
      <c r="U8" s="9">
        <f t="shared" si="9"/>
        <v>12808432.800000001</v>
      </c>
      <c r="V8" s="8">
        <v>27</v>
      </c>
      <c r="W8" s="8">
        <v>20</v>
      </c>
      <c r="X8" s="8">
        <f t="shared" si="10"/>
        <v>7</v>
      </c>
    </row>
    <row r="9" spans="1:24" x14ac:dyDescent="0.25">
      <c r="A9" s="10" t="s">
        <v>32</v>
      </c>
      <c r="B9" s="9">
        <v>111896</v>
      </c>
      <c r="C9" s="9">
        <v>2907274</v>
      </c>
      <c r="D9" s="9">
        <v>2223438</v>
      </c>
      <c r="E9" s="9">
        <f t="shared" si="0"/>
        <v>683836</v>
      </c>
      <c r="F9" s="9">
        <f t="shared" si="1"/>
        <v>2153536.2962962962</v>
      </c>
      <c r="G9" s="9">
        <f t="shared" si="2"/>
        <v>-69901.703703703824</v>
      </c>
      <c r="H9" s="9">
        <f t="shared" si="3"/>
        <v>99466.5</v>
      </c>
      <c r="I9" s="9">
        <f t="shared" si="4"/>
        <v>649516.245</v>
      </c>
      <c r="J9" s="9">
        <f t="shared" si="5"/>
        <v>682565.6</v>
      </c>
      <c r="K9" s="9">
        <v>122471</v>
      </c>
      <c r="L9" s="16">
        <f t="shared" si="6"/>
        <v>0.96447168386251481</v>
      </c>
      <c r="M9" s="9">
        <f t="shared" si="7"/>
        <v>9946.65</v>
      </c>
      <c r="N9" s="8">
        <v>6.53</v>
      </c>
      <c r="O9" s="8">
        <v>6.1</v>
      </c>
      <c r="P9" s="8">
        <v>10</v>
      </c>
      <c r="Q9" s="8">
        <v>12.04</v>
      </c>
      <c r="R9" s="11">
        <v>0.68</v>
      </c>
      <c r="S9" s="11">
        <v>0.69620000000000004</v>
      </c>
      <c r="T9" s="9">
        <f t="shared" si="8"/>
        <v>13562971.799999999</v>
      </c>
      <c r="U9" s="9">
        <f t="shared" si="9"/>
        <v>14062592.014814815</v>
      </c>
      <c r="V9" s="8">
        <v>27</v>
      </c>
      <c r="W9" s="8">
        <v>20</v>
      </c>
      <c r="X9" s="8">
        <f t="shared" si="10"/>
        <v>7</v>
      </c>
    </row>
    <row r="10" spans="1:24" ht="14.25" customHeight="1" x14ac:dyDescent="0.25">
      <c r="A10" s="10" t="s">
        <v>33</v>
      </c>
      <c r="B10" s="9">
        <v>140840</v>
      </c>
      <c r="C10" s="9">
        <v>3971692</v>
      </c>
      <c r="D10" s="9">
        <v>2773410</v>
      </c>
      <c r="E10" s="9">
        <f t="shared" si="0"/>
        <v>1198282</v>
      </c>
      <c r="F10" s="9">
        <f t="shared" si="1"/>
        <v>2941994.0740740742</v>
      </c>
      <c r="G10" s="9">
        <f t="shared" si="2"/>
        <v>168584.07407407416</v>
      </c>
      <c r="H10" s="9">
        <f t="shared" si="3"/>
        <v>167390.25</v>
      </c>
      <c r="I10" s="9">
        <f t="shared" si="4"/>
        <v>1322382.9750000001</v>
      </c>
      <c r="J10" s="9">
        <f t="shared" si="5"/>
        <v>1040807.6</v>
      </c>
      <c r="K10" s="9">
        <v>148393</v>
      </c>
      <c r="L10" s="16">
        <f t="shared" si="6"/>
        <v>0.88183966745952236</v>
      </c>
      <c r="M10" s="9">
        <f t="shared" si="7"/>
        <v>16739.025000000001</v>
      </c>
      <c r="N10" s="8">
        <v>7.9</v>
      </c>
      <c r="O10" s="8">
        <v>7.39</v>
      </c>
      <c r="P10" s="8">
        <v>10</v>
      </c>
      <c r="Q10" s="8">
        <v>10.220000000000001</v>
      </c>
      <c r="R10" s="11">
        <v>0.68</v>
      </c>
      <c r="S10" s="11">
        <v>0.68720000000000003</v>
      </c>
      <c r="T10" s="9">
        <f t="shared" si="8"/>
        <v>20495499.899999999</v>
      </c>
      <c r="U10" s="9">
        <f t="shared" si="9"/>
        <v>23241753.185185187</v>
      </c>
      <c r="V10" s="8">
        <v>27</v>
      </c>
      <c r="W10" s="8">
        <v>20</v>
      </c>
      <c r="X10" s="8">
        <f t="shared" si="10"/>
        <v>7</v>
      </c>
    </row>
    <row r="11" spans="1:24" ht="14.25" customHeight="1" thickBot="1" x14ac:dyDescent="0.3">
      <c r="A11" s="21" t="s">
        <v>34</v>
      </c>
      <c r="B11" s="22">
        <v>18478</v>
      </c>
      <c r="C11" s="22">
        <v>0</v>
      </c>
      <c r="D11" s="22">
        <v>700706</v>
      </c>
      <c r="E11" s="9">
        <f t="shared" si="0"/>
        <v>-700706</v>
      </c>
      <c r="F11" s="9">
        <f t="shared" si="1"/>
        <v>0</v>
      </c>
      <c r="G11" s="9">
        <f t="shared" si="2"/>
        <v>-700706</v>
      </c>
      <c r="H11" s="9">
        <f t="shared" si="3"/>
        <v>-85278.5</v>
      </c>
      <c r="I11" s="9">
        <f t="shared" si="4"/>
        <v>0</v>
      </c>
      <c r="J11" s="9">
        <f t="shared" si="5"/>
        <v>86846.6</v>
      </c>
      <c r="K11" s="9">
        <v>27791</v>
      </c>
      <c r="L11" s="16" t="e">
        <f t="shared" si="6"/>
        <v>#DIV/0!</v>
      </c>
      <c r="M11" s="9">
        <f t="shared" si="7"/>
        <v>-8527.85</v>
      </c>
      <c r="N11" s="18">
        <v>0</v>
      </c>
      <c r="O11" s="18">
        <v>4.7</v>
      </c>
      <c r="P11" s="18">
        <v>10</v>
      </c>
      <c r="Q11" s="18">
        <v>10.28</v>
      </c>
      <c r="R11" s="19">
        <v>0.63</v>
      </c>
      <c r="S11" s="19">
        <v>0.40379999999999999</v>
      </c>
      <c r="T11" s="9">
        <f t="shared" si="8"/>
        <v>3293318.2</v>
      </c>
      <c r="U11" s="9">
        <f t="shared" si="9"/>
        <v>0</v>
      </c>
      <c r="V11" s="18">
        <v>27</v>
      </c>
      <c r="W11" s="18">
        <v>20</v>
      </c>
      <c r="X11" s="8">
        <f t="shared" si="10"/>
        <v>7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578406</v>
      </c>
      <c r="C12" s="7">
        <f t="shared" si="11"/>
        <v>16423830</v>
      </c>
      <c r="D12" s="7">
        <f t="shared" si="11"/>
        <v>11734449</v>
      </c>
      <c r="E12" s="7">
        <f t="shared" si="11"/>
        <v>4689381</v>
      </c>
      <c r="F12" s="7">
        <f t="shared" si="11"/>
        <v>12165800</v>
      </c>
      <c r="G12" s="7">
        <f t="shared" si="11"/>
        <v>431350.99999999977</v>
      </c>
      <c r="H12" s="7">
        <f t="shared" si="3"/>
        <v>658473.375</v>
      </c>
      <c r="I12" s="7">
        <f t="shared" si="4"/>
        <v>4859533.5075000003</v>
      </c>
      <c r="J12" s="7">
        <f t="shared" si="5"/>
        <v>3745901.8575000004</v>
      </c>
      <c r="K12" s="7">
        <f>SUM(K4:K11)</f>
        <v>615754</v>
      </c>
      <c r="L12" s="12">
        <f t="shared" si="6"/>
        <v>0.84642654059921685</v>
      </c>
      <c r="M12" s="7">
        <f t="shared" si="7"/>
        <v>65847.337499999994</v>
      </c>
      <c r="N12" s="6">
        <v>7.38</v>
      </c>
      <c r="O12" s="6">
        <f>AVERAGE(O4:O11)</f>
        <v>6.4762500000000003</v>
      </c>
      <c r="P12" s="6">
        <v>10</v>
      </c>
      <c r="Q12" s="6">
        <f>AVERAGE(Q4:Q11)</f>
        <v>10.456250000000001</v>
      </c>
      <c r="R12" s="12">
        <v>0.68630000000000002</v>
      </c>
      <c r="S12" s="12">
        <f>AVERAGE(S4:S11)</f>
        <v>0.65433750000000002</v>
      </c>
      <c r="T12" s="7">
        <f t="shared" si="8"/>
        <v>75995225.336250007</v>
      </c>
      <c r="U12" s="7">
        <f t="shared" si="9"/>
        <v>89783604</v>
      </c>
      <c r="V12" s="6">
        <v>27</v>
      </c>
      <c r="W12" s="6">
        <v>20</v>
      </c>
      <c r="X12" s="6">
        <f t="shared" si="10"/>
        <v>7</v>
      </c>
    </row>
    <row r="13" spans="1:24" ht="15.75" customHeight="1" thickTop="1" x14ac:dyDescent="0.25">
      <c r="A13" s="10" t="s">
        <v>36</v>
      </c>
      <c r="B13" s="9">
        <v>116250</v>
      </c>
      <c r="C13" s="9">
        <v>3336726</v>
      </c>
      <c r="D13" s="9">
        <v>2555097</v>
      </c>
      <c r="E13" s="9">
        <f>C13-D13</f>
        <v>781629</v>
      </c>
      <c r="F13" s="9">
        <f>C13*W13/V13</f>
        <v>2471648.888888889</v>
      </c>
      <c r="G13" s="9">
        <f>F13-D13</f>
        <v>-83448.111111111008</v>
      </c>
      <c r="H13" s="9">
        <f t="shared" si="3"/>
        <v>112234.875</v>
      </c>
      <c r="I13" s="9">
        <f t="shared" si="4"/>
        <v>470264.12625000003</v>
      </c>
      <c r="J13" s="9">
        <f t="shared" si="5"/>
        <v>447562.5</v>
      </c>
      <c r="K13" s="9">
        <v>109834</v>
      </c>
      <c r="L13" s="16">
        <f t="shared" si="6"/>
        <v>0.94987689006263076</v>
      </c>
      <c r="M13" s="9">
        <f t="shared" si="7"/>
        <v>11134.412202380952</v>
      </c>
      <c r="N13" s="8">
        <v>4.1900000000000004</v>
      </c>
      <c r="O13" s="8">
        <v>3.85</v>
      </c>
      <c r="P13" s="8">
        <v>10.08</v>
      </c>
      <c r="Q13" s="8">
        <v>10.15</v>
      </c>
      <c r="R13" s="11">
        <v>0.79</v>
      </c>
      <c r="S13" s="11">
        <v>0.748</v>
      </c>
      <c r="T13" s="9">
        <f t="shared" si="8"/>
        <v>9837123.4500000011</v>
      </c>
      <c r="U13" s="9">
        <f t="shared" si="9"/>
        <v>10356208.844444446</v>
      </c>
      <c r="V13" s="8">
        <v>27</v>
      </c>
      <c r="W13" s="8">
        <v>20</v>
      </c>
      <c r="X13" s="8">
        <f t="shared" si="10"/>
        <v>7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16423830</v>
      </c>
      <c r="B18" s="13">
        <f>D12</f>
        <v>11734449</v>
      </c>
      <c r="C18" s="13">
        <f>QUOTIENT(B12,10000)*10000</f>
        <v>570000</v>
      </c>
      <c r="D18" s="13">
        <f t="shared" ref="D18:D23" si="12">C18*$X$12</f>
        <v>3990000</v>
      </c>
      <c r="E18" s="13">
        <f t="shared" ref="E18:E23" si="13">$D$12+D18</f>
        <v>15724449</v>
      </c>
      <c r="F18" s="13">
        <f t="shared" ref="F18:F23" si="14">$C$12-E18</f>
        <v>699381</v>
      </c>
      <c r="M18" s="1"/>
    </row>
    <row r="19" spans="1:13" x14ac:dyDescent="0.25">
      <c r="A19" s="15" t="s">
        <v>44</v>
      </c>
      <c r="B19" s="14"/>
      <c r="C19" s="13">
        <f>C18+35000</f>
        <v>605000</v>
      </c>
      <c r="D19" s="13">
        <f t="shared" si="12"/>
        <v>4235000</v>
      </c>
      <c r="E19" s="13">
        <f t="shared" si="13"/>
        <v>15969449</v>
      </c>
      <c r="F19" s="13">
        <f t="shared" si="14"/>
        <v>454381</v>
      </c>
      <c r="M19" s="1"/>
    </row>
    <row r="20" spans="1:13" x14ac:dyDescent="0.25">
      <c r="A20" s="15" t="s">
        <v>44</v>
      </c>
      <c r="B20" s="14"/>
      <c r="C20" s="13">
        <f>C19+35000</f>
        <v>640000</v>
      </c>
      <c r="D20" s="13">
        <f t="shared" si="12"/>
        <v>4480000</v>
      </c>
      <c r="E20" s="13">
        <f t="shared" si="13"/>
        <v>16214449</v>
      </c>
      <c r="F20" s="13">
        <f t="shared" si="14"/>
        <v>209381</v>
      </c>
    </row>
    <row r="21" spans="1:13" x14ac:dyDescent="0.25">
      <c r="A21" s="15" t="s">
        <v>44</v>
      </c>
      <c r="B21" s="14"/>
      <c r="C21" s="13">
        <f>C20+35000</f>
        <v>675000</v>
      </c>
      <c r="D21" s="13">
        <f t="shared" si="12"/>
        <v>4725000</v>
      </c>
      <c r="E21" s="13">
        <f t="shared" si="13"/>
        <v>16459449</v>
      </c>
      <c r="F21" s="13">
        <f t="shared" si="14"/>
        <v>-35619</v>
      </c>
    </row>
    <row r="22" spans="1:13" x14ac:dyDescent="0.25">
      <c r="A22" s="15" t="s">
        <v>44</v>
      </c>
      <c r="B22" s="14"/>
      <c r="C22" s="13">
        <f>C21+35000</f>
        <v>710000</v>
      </c>
      <c r="D22" s="13">
        <f t="shared" si="12"/>
        <v>4970000</v>
      </c>
      <c r="E22" s="13">
        <f t="shared" si="13"/>
        <v>16704449</v>
      </c>
      <c r="F22" s="13">
        <f t="shared" si="14"/>
        <v>-280619</v>
      </c>
    </row>
    <row r="23" spans="1:13" x14ac:dyDescent="0.25">
      <c r="A23" s="15" t="s">
        <v>44</v>
      </c>
      <c r="B23" s="14"/>
      <c r="C23" s="13">
        <f>C22+35000</f>
        <v>745000</v>
      </c>
      <c r="D23" s="13">
        <f t="shared" si="12"/>
        <v>5215000</v>
      </c>
      <c r="E23" s="13">
        <f t="shared" si="13"/>
        <v>16949449</v>
      </c>
      <c r="F23" s="13">
        <f t="shared" si="14"/>
        <v>-525619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2025-12-24T03:45:04Z</dcterms:modified>
</cp:coreProperties>
</file>