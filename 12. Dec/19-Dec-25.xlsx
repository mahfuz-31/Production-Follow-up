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F80469E9-4FB6-471C-9C61-E77F712AF1CD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" i="1" l="1"/>
  <c r="T13" i="1"/>
  <c r="J13" i="1"/>
  <c r="H13" i="1"/>
  <c r="I13" i="1" s="1"/>
  <c r="G13" i="1"/>
  <c r="F13" i="1"/>
  <c r="U13" i="1" s="1"/>
  <c r="L13" i="1" s="1"/>
  <c r="E13" i="1"/>
  <c r="X12" i="1"/>
  <c r="S12" i="1"/>
  <c r="Q12" i="1"/>
  <c r="O12" i="1"/>
  <c r="T12" i="1" s="1"/>
  <c r="K12" i="1"/>
  <c r="D12" i="1"/>
  <c r="B18" i="1" s="1"/>
  <c r="C12" i="1"/>
  <c r="B12" i="1"/>
  <c r="C18" i="1" s="1"/>
  <c r="X11" i="1"/>
  <c r="T11" i="1"/>
  <c r="J11" i="1"/>
  <c r="F11" i="1"/>
  <c r="G11" i="1" s="1"/>
  <c r="E11" i="1"/>
  <c r="H11" i="1" s="1"/>
  <c r="X10" i="1"/>
  <c r="T10" i="1"/>
  <c r="J10" i="1"/>
  <c r="G10" i="1"/>
  <c r="F10" i="1"/>
  <c r="U10" i="1" s="1"/>
  <c r="E10" i="1"/>
  <c r="H10" i="1" s="1"/>
  <c r="X9" i="1"/>
  <c r="H9" i="1" s="1"/>
  <c r="I9" i="1" s="1"/>
  <c r="T9" i="1"/>
  <c r="J9" i="1"/>
  <c r="F9" i="1"/>
  <c r="G9" i="1" s="1"/>
  <c r="E9" i="1"/>
  <c r="X8" i="1"/>
  <c r="T8" i="1"/>
  <c r="J8" i="1"/>
  <c r="F8" i="1"/>
  <c r="U8" i="1" s="1"/>
  <c r="L8" i="1" s="1"/>
  <c r="E8" i="1"/>
  <c r="H8" i="1" s="1"/>
  <c r="X7" i="1"/>
  <c r="H7" i="1" s="1"/>
  <c r="I7" i="1" s="1"/>
  <c r="T7" i="1"/>
  <c r="J7" i="1"/>
  <c r="F7" i="1"/>
  <c r="G7" i="1" s="1"/>
  <c r="E7" i="1"/>
  <c r="X6" i="1"/>
  <c r="T6" i="1"/>
  <c r="J6" i="1"/>
  <c r="G6" i="1"/>
  <c r="F6" i="1"/>
  <c r="U6" i="1" s="1"/>
  <c r="E6" i="1"/>
  <c r="H6" i="1" s="1"/>
  <c r="X5" i="1"/>
  <c r="H5" i="1" s="1"/>
  <c r="I5" i="1" s="1"/>
  <c r="T5" i="1"/>
  <c r="J5" i="1"/>
  <c r="F5" i="1"/>
  <c r="G5" i="1" s="1"/>
  <c r="E5" i="1"/>
  <c r="X4" i="1"/>
  <c r="T4" i="1"/>
  <c r="J4" i="1"/>
  <c r="F4" i="1"/>
  <c r="U4" i="1" s="1"/>
  <c r="L4" i="1" s="1"/>
  <c r="E4" i="1"/>
  <c r="E12" i="1" s="1"/>
  <c r="L6" i="1" l="1"/>
  <c r="G8" i="1"/>
  <c r="L10" i="1"/>
  <c r="H12" i="1"/>
  <c r="I12" i="1" s="1"/>
  <c r="G4" i="1"/>
  <c r="D18" i="1"/>
  <c r="E18" i="1" s="1"/>
  <c r="F18" i="1" s="1"/>
  <c r="C19" i="1"/>
  <c r="M8" i="1"/>
  <c r="I8" i="1"/>
  <c r="M10" i="1"/>
  <c r="I10" i="1"/>
  <c r="M12" i="1"/>
  <c r="M6" i="1"/>
  <c r="I6" i="1"/>
  <c r="G12" i="1"/>
  <c r="I11" i="1"/>
  <c r="M11" i="1"/>
  <c r="M5" i="1"/>
  <c r="U7" i="1"/>
  <c r="L7" i="1" s="1"/>
  <c r="M9" i="1"/>
  <c r="U11" i="1"/>
  <c r="L11" i="1" s="1"/>
  <c r="U5" i="1"/>
  <c r="L5" i="1" s="1"/>
  <c r="M7" i="1"/>
  <c r="U9" i="1"/>
  <c r="L9" i="1" s="1"/>
  <c r="F12" i="1"/>
  <c r="U12" i="1" s="1"/>
  <c r="L12" i="1" s="1"/>
  <c r="J12" i="1"/>
  <c r="M13" i="1"/>
  <c r="A18" i="1"/>
  <c r="H4" i="1"/>
  <c r="M4" i="1" l="1"/>
  <c r="I4" i="1"/>
  <c r="D19" i="1"/>
  <c r="E19" i="1" s="1"/>
  <c r="F19" i="1" s="1"/>
  <c r="C20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<sst xmlns="http://schemas.openxmlformats.org/spreadsheetml/2006/main" count="49" uniqueCount="45">
  <si>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</si>
  <si>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</si>
  <si>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19-Dec-25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</si>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</sst>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H1" workbookViewId="0">
      <selection activeCell="W13" sqref="W13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64531</v>
      </c>
      <c r="C4" s="9">
        <v>3046419</v>
      </c>
      <c r="D4" s="9">
        <v>1498807</v>
      </c>
      <c r="E4" s="9">
        <f t="shared" ref="E4:E11" si="0">C4-D4</f>
        <v>1547612</v>
      </c>
      <c r="F4" s="9">
        <f t="shared" ref="F4:F11" si="1">C4*W4/V4</f>
        <v>1805285.3333333333</v>
      </c>
      <c r="G4" s="9">
        <f t="shared" ref="G4:G11" si="2">F4-D4</f>
        <v>306478.33333333326</v>
      </c>
      <c r="H4" s="9">
        <f t="shared" ref="H4:H13" si="3">(E4+B4)/(X4+1)</f>
        <v>134345.25</v>
      </c>
      <c r="I4" s="9">
        <f t="shared" ref="I4:I13" si="4">H4*N4</f>
        <v>947134.01249999995</v>
      </c>
      <c r="J4" s="9">
        <f t="shared" ref="J4:J13" si="5">B4*O4</f>
        <v>454943.55</v>
      </c>
      <c r="K4" s="9">
        <v>64585</v>
      </c>
      <c r="L4" s="16">
        <f t="shared" ref="L4:L13" si="6">T4/U4</f>
        <v>0.83023274621777243</v>
      </c>
      <c r="M4" s="9">
        <f t="shared" ref="M4:M13" si="7">H4/P4</f>
        <v>13434.525</v>
      </c>
      <c r="N4" s="8">
        <v>7.05</v>
      </c>
      <c r="O4" s="8">
        <v>7.05</v>
      </c>
      <c r="P4" s="8">
        <v>10</v>
      </c>
      <c r="Q4" s="8">
        <v>10.99</v>
      </c>
      <c r="R4" s="11">
        <v>0.7</v>
      </c>
      <c r="S4" s="11">
        <v>0.72970000000000002</v>
      </c>
      <c r="T4" s="9">
        <f t="shared" ref="T4:T13" si="8">O4*D4</f>
        <v>10566589.35</v>
      </c>
      <c r="U4" s="9">
        <f t="shared" ref="U4:U13" si="9">N4*F4</f>
        <v>12727261.6</v>
      </c>
      <c r="V4" s="8">
        <v>27</v>
      </c>
      <c r="W4" s="8">
        <v>16</v>
      </c>
      <c r="X4" s="8">
        <f t="shared" ref="X4:X13" si="10">V4-W4</f>
        <v>11</v>
      </c>
    </row>
    <row r="5" spans="1:24" x14ac:dyDescent="0.25">
      <c r="A5" s="10" t="s">
        <v>28</v>
      </c>
      <c r="B5" s="9">
        <v>9840</v>
      </c>
      <c r="C5" s="9">
        <v>350940</v>
      </c>
      <c r="D5" s="9">
        <v>205420</v>
      </c>
      <c r="E5" s="9">
        <f t="shared" si="0"/>
        <v>145520</v>
      </c>
      <c r="F5" s="9">
        <f t="shared" si="1"/>
        <v>207964.44444444444</v>
      </c>
      <c r="G5" s="9">
        <f t="shared" si="2"/>
        <v>2544.444444444438</v>
      </c>
      <c r="H5" s="9">
        <f t="shared" si="3"/>
        <v>12946.666666666666</v>
      </c>
      <c r="I5" s="9">
        <f t="shared" si="4"/>
        <v>91274</v>
      </c>
      <c r="J5" s="9">
        <f t="shared" si="5"/>
        <v>57268.800000000003</v>
      </c>
      <c r="K5" s="9">
        <v>9757</v>
      </c>
      <c r="L5" s="16">
        <f t="shared" si="6"/>
        <v>0.81543153403200419</v>
      </c>
      <c r="M5" s="17">
        <f t="shared" si="7"/>
        <v>1294.6666666666665</v>
      </c>
      <c r="N5" s="8">
        <v>7.05</v>
      </c>
      <c r="O5" s="8">
        <v>5.82</v>
      </c>
      <c r="P5" s="8">
        <v>10</v>
      </c>
      <c r="Q5" s="8">
        <v>10.96</v>
      </c>
      <c r="R5" s="11">
        <v>0.7</v>
      </c>
      <c r="S5" s="11">
        <v>0.75080000000000002</v>
      </c>
      <c r="T5" s="9">
        <f t="shared" si="8"/>
        <v>1195544.4000000001</v>
      </c>
      <c r="U5" s="9">
        <f t="shared" si="9"/>
        <v>1466149.3333333333</v>
      </c>
      <c r="V5" s="8">
        <v>27</v>
      </c>
      <c r="W5" s="8">
        <v>16</v>
      </c>
      <c r="X5" s="8">
        <f t="shared" si="10"/>
        <v>11</v>
      </c>
    </row>
    <row r="6" spans="1:24" x14ac:dyDescent="0.25">
      <c r="A6" s="10" t="s">
        <v>29</v>
      </c>
      <c r="B6" s="9">
        <v>34546</v>
      </c>
      <c r="C6" s="9">
        <v>1530868</v>
      </c>
      <c r="D6" s="9">
        <v>772451</v>
      </c>
      <c r="E6" s="9">
        <f t="shared" si="0"/>
        <v>758417</v>
      </c>
      <c r="F6" s="9">
        <f t="shared" si="1"/>
        <v>907181.03703703708</v>
      </c>
      <c r="G6" s="9">
        <f t="shared" si="2"/>
        <v>134730.03703703708</v>
      </c>
      <c r="H6" s="9">
        <f t="shared" si="3"/>
        <v>66080.25</v>
      </c>
      <c r="I6" s="9">
        <f t="shared" si="4"/>
        <v>448024.09500000003</v>
      </c>
      <c r="J6" s="9">
        <f t="shared" si="5"/>
        <v>208312.38</v>
      </c>
      <c r="K6" s="9">
        <v>30109</v>
      </c>
      <c r="L6" s="16">
        <f t="shared" si="6"/>
        <v>0.75729413698373582</v>
      </c>
      <c r="M6" s="9">
        <f t="shared" si="7"/>
        <v>6007.295454545455</v>
      </c>
      <c r="N6" s="8">
        <v>6.78</v>
      </c>
      <c r="O6" s="8">
        <v>6.03</v>
      </c>
      <c r="P6" s="8">
        <v>11</v>
      </c>
      <c r="Q6" s="8">
        <v>10.54</v>
      </c>
      <c r="R6" s="11">
        <v>0.74</v>
      </c>
      <c r="S6" s="11">
        <v>0.69689999999999996</v>
      </c>
      <c r="T6" s="9">
        <f t="shared" si="8"/>
        <v>4657879.53</v>
      </c>
      <c r="U6" s="9">
        <f t="shared" si="9"/>
        <v>6150687.4311111113</v>
      </c>
      <c r="V6" s="8">
        <v>27</v>
      </c>
      <c r="W6" s="8">
        <v>16</v>
      </c>
      <c r="X6" s="8">
        <f t="shared" si="10"/>
        <v>11</v>
      </c>
    </row>
    <row r="7" spans="1:24" x14ac:dyDescent="0.25">
      <c r="A7" s="10" t="s">
        <v>30</v>
      </c>
      <c r="B7" s="9">
        <v>68500</v>
      </c>
      <c r="C7" s="9">
        <v>2273631</v>
      </c>
      <c r="D7" s="9">
        <v>1257997</v>
      </c>
      <c r="E7" s="9">
        <f t="shared" si="0"/>
        <v>1015634</v>
      </c>
      <c r="F7" s="9">
        <f t="shared" si="1"/>
        <v>1347336.888888889</v>
      </c>
      <c r="G7" s="9">
        <f t="shared" si="2"/>
        <v>89339.888888888992</v>
      </c>
      <c r="H7" s="9">
        <f t="shared" si="3"/>
        <v>90344.5</v>
      </c>
      <c r="I7" s="9">
        <f t="shared" si="4"/>
        <v>759797.245</v>
      </c>
      <c r="J7" s="9">
        <f t="shared" si="5"/>
        <v>536355</v>
      </c>
      <c r="K7" s="9">
        <v>81619</v>
      </c>
      <c r="L7" s="16">
        <f t="shared" si="6"/>
        <v>0.86929898221133395</v>
      </c>
      <c r="M7" s="9">
        <f t="shared" si="7"/>
        <v>9034.4500000000007</v>
      </c>
      <c r="N7" s="8">
        <v>8.41</v>
      </c>
      <c r="O7" s="8">
        <v>7.83</v>
      </c>
      <c r="P7" s="8">
        <v>10</v>
      </c>
      <c r="Q7" s="8">
        <v>10.02</v>
      </c>
      <c r="R7" s="11">
        <v>0.63</v>
      </c>
      <c r="S7" s="11">
        <v>0.60960000000000003</v>
      </c>
      <c r="T7" s="9">
        <f t="shared" si="8"/>
        <v>9850116.5099999998</v>
      </c>
      <c r="U7" s="9">
        <f t="shared" si="9"/>
        <v>11331103.235555558</v>
      </c>
      <c r="V7" s="8">
        <v>27</v>
      </c>
      <c r="W7" s="8">
        <v>16</v>
      </c>
      <c r="X7" s="8">
        <f t="shared" si="10"/>
        <v>11</v>
      </c>
    </row>
    <row r="8" spans="1:24" x14ac:dyDescent="0.25">
      <c r="A8" s="10" t="s">
        <v>31</v>
      </c>
      <c r="B8" s="9">
        <v>63932</v>
      </c>
      <c r="C8" s="9">
        <v>2343006</v>
      </c>
      <c r="D8" s="9">
        <v>1067399</v>
      </c>
      <c r="E8" s="9">
        <f t="shared" si="0"/>
        <v>1275607</v>
      </c>
      <c r="F8" s="9">
        <f t="shared" si="1"/>
        <v>1388448</v>
      </c>
      <c r="G8" s="9">
        <f t="shared" si="2"/>
        <v>321049</v>
      </c>
      <c r="H8" s="9">
        <f t="shared" si="3"/>
        <v>111628.25</v>
      </c>
      <c r="I8" s="9">
        <f t="shared" si="4"/>
        <v>823816.48499999999</v>
      </c>
      <c r="J8" s="9">
        <f t="shared" si="5"/>
        <v>463507</v>
      </c>
      <c r="K8" s="9">
        <v>70975</v>
      </c>
      <c r="L8" s="16">
        <f t="shared" si="6"/>
        <v>0.75522927656691929</v>
      </c>
      <c r="M8" s="9">
        <f t="shared" si="7"/>
        <v>11162.825000000001</v>
      </c>
      <c r="N8" s="8">
        <v>7.38</v>
      </c>
      <c r="O8" s="8">
        <v>7.25</v>
      </c>
      <c r="P8" s="8">
        <v>10</v>
      </c>
      <c r="Q8" s="8">
        <v>8.68</v>
      </c>
      <c r="R8" s="11">
        <v>0.71</v>
      </c>
      <c r="S8" s="11">
        <v>0.66870000000000007</v>
      </c>
      <c r="T8" s="9">
        <f t="shared" si="8"/>
        <v>7738642.75</v>
      </c>
      <c r="U8" s="9">
        <f t="shared" si="9"/>
        <v>10246746.24</v>
      </c>
      <c r="V8" s="8">
        <v>27</v>
      </c>
      <c r="W8" s="8">
        <v>16</v>
      </c>
      <c r="X8" s="8">
        <f t="shared" si="10"/>
        <v>11</v>
      </c>
    </row>
    <row r="9" spans="1:24" x14ac:dyDescent="0.25">
      <c r="A9" s="10" t="s">
        <v>32</v>
      </c>
      <c r="B9" s="9">
        <v>78670</v>
      </c>
      <c r="C9" s="9">
        <v>2907274</v>
      </c>
      <c r="D9" s="9">
        <v>1797661</v>
      </c>
      <c r="E9" s="9">
        <f t="shared" si="0"/>
        <v>1109613</v>
      </c>
      <c r="F9" s="9">
        <f t="shared" si="1"/>
        <v>1722829.0370370371</v>
      </c>
      <c r="G9" s="9">
        <f t="shared" si="2"/>
        <v>-74831.96296296292</v>
      </c>
      <c r="H9" s="9">
        <f t="shared" si="3"/>
        <v>99023.583333333328</v>
      </c>
      <c r="I9" s="9">
        <f t="shared" si="4"/>
        <v>646623.99916666665</v>
      </c>
      <c r="J9" s="9">
        <f t="shared" si="5"/>
        <v>470446.60000000003</v>
      </c>
      <c r="K9" s="9">
        <v>87441</v>
      </c>
      <c r="L9" s="16">
        <f t="shared" si="6"/>
        <v>0.95555043912556792</v>
      </c>
      <c r="M9" s="9">
        <f t="shared" si="7"/>
        <v>9902.3583333333336</v>
      </c>
      <c r="N9" s="8">
        <v>6.53</v>
      </c>
      <c r="O9" s="8">
        <v>5.98</v>
      </c>
      <c r="P9" s="8">
        <v>10</v>
      </c>
      <c r="Q9" s="8">
        <v>11.81</v>
      </c>
      <c r="R9" s="11">
        <v>0.68</v>
      </c>
      <c r="S9" s="11">
        <v>0.70660000000000001</v>
      </c>
      <c r="T9" s="9">
        <f t="shared" si="8"/>
        <v>10750012.780000001</v>
      </c>
      <c r="U9" s="9">
        <f t="shared" si="9"/>
        <v>11250073.611851852</v>
      </c>
      <c r="V9" s="8">
        <v>27</v>
      </c>
      <c r="W9" s="8">
        <v>16</v>
      </c>
      <c r="X9" s="8">
        <f t="shared" si="10"/>
        <v>11</v>
      </c>
    </row>
    <row r="10" spans="1:24" ht="14.25" customHeight="1" x14ac:dyDescent="0.25">
      <c r="A10" s="10" t="s">
        <v>33</v>
      </c>
      <c r="B10" s="9">
        <v>118757</v>
      </c>
      <c r="C10" s="9">
        <v>3971692</v>
      </c>
      <c r="D10" s="9">
        <v>2199200</v>
      </c>
      <c r="E10" s="9">
        <f t="shared" si="0"/>
        <v>1772492</v>
      </c>
      <c r="F10" s="9">
        <f t="shared" si="1"/>
        <v>2353595.2592592593</v>
      </c>
      <c r="G10" s="9">
        <f t="shared" si="2"/>
        <v>154395.25925925933</v>
      </c>
      <c r="H10" s="9">
        <f t="shared" si="3"/>
        <v>157604.08333333334</v>
      </c>
      <c r="I10" s="9">
        <f t="shared" si="4"/>
        <v>1245072.2583333335</v>
      </c>
      <c r="J10" s="9">
        <f t="shared" si="5"/>
        <v>870488.81</v>
      </c>
      <c r="K10" s="9">
        <v>132872</v>
      </c>
      <c r="L10" s="16">
        <f t="shared" si="6"/>
        <v>0.8669814983167522</v>
      </c>
      <c r="M10" s="9">
        <f t="shared" si="7"/>
        <v>15760.408333333335</v>
      </c>
      <c r="N10" s="8">
        <v>7.9</v>
      </c>
      <c r="O10" s="8">
        <v>7.33</v>
      </c>
      <c r="P10" s="8">
        <v>10</v>
      </c>
      <c r="Q10" s="8">
        <v>9.99</v>
      </c>
      <c r="R10" s="11">
        <v>0.68</v>
      </c>
      <c r="S10" s="11">
        <v>0.69079999999999997</v>
      </c>
      <c r="T10" s="9">
        <f t="shared" si="8"/>
        <v>16120136</v>
      </c>
      <c r="U10" s="9">
        <f t="shared" si="9"/>
        <v>18593402.548148148</v>
      </c>
      <c r="V10" s="8">
        <v>27</v>
      </c>
      <c r="W10" s="8">
        <v>16</v>
      </c>
      <c r="X10" s="8">
        <f t="shared" si="10"/>
        <v>11</v>
      </c>
    </row>
    <row r="11" spans="1:24" ht="14.25" customHeight="1" thickBot="1" x14ac:dyDescent="0.3">
      <c r="A11" s="21" t="s">
        <v>34</v>
      </c>
      <c r="B11" s="22">
        <v>33587</v>
      </c>
      <c r="C11" s="22">
        <v>0</v>
      </c>
      <c r="D11" s="22">
        <v>610505</v>
      </c>
      <c r="E11" s="9">
        <f t="shared" si="0"/>
        <v>-610505</v>
      </c>
      <c r="F11" s="9">
        <f t="shared" si="1"/>
        <v>0</v>
      </c>
      <c r="G11" s="9">
        <f t="shared" si="2"/>
        <v>-610505</v>
      </c>
      <c r="H11" s="9">
        <f t="shared" si="3"/>
        <v>-48076.5</v>
      </c>
      <c r="I11" s="9">
        <f t="shared" si="4"/>
        <v>0</v>
      </c>
      <c r="J11" s="9">
        <f t="shared" si="5"/>
        <v>160209.99</v>
      </c>
      <c r="K11" s="9">
        <v>63130</v>
      </c>
      <c r="L11" s="16" t="e">
        <f t="shared" si="6"/>
        <v>#DIV/0!</v>
      </c>
      <c r="M11" s="9">
        <f t="shared" si="7"/>
        <v>-4807.6499999999996</v>
      </c>
      <c r="N11" s="18">
        <v>0</v>
      </c>
      <c r="O11" s="18">
        <v>4.7699999999999996</v>
      </c>
      <c r="P11" s="18">
        <v>10</v>
      </c>
      <c r="Q11" s="18">
        <v>10.44</v>
      </c>
      <c r="R11" s="19">
        <v>0.63</v>
      </c>
      <c r="S11" s="19">
        <v>0.43580000000000002</v>
      </c>
      <c r="T11" s="9">
        <f t="shared" si="8"/>
        <v>2912108.8499999996</v>
      </c>
      <c r="U11" s="9">
        <f t="shared" si="9"/>
        <v>0</v>
      </c>
      <c r="V11" s="18">
        <v>27</v>
      </c>
      <c r="W11" s="18">
        <v>16</v>
      </c>
      <c r="X11" s="8">
        <f t="shared" si="10"/>
        <v>11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472363</v>
      </c>
      <c r="C12" s="7">
        <f t="shared" si="11"/>
        <v>16423830</v>
      </c>
      <c r="D12" s="7">
        <f t="shared" si="11"/>
        <v>9409440</v>
      </c>
      <c r="E12" s="7">
        <f t="shared" si="11"/>
        <v>7014390</v>
      </c>
      <c r="F12" s="7">
        <f t="shared" si="11"/>
        <v>9732640</v>
      </c>
      <c r="G12" s="7">
        <f t="shared" si="11"/>
        <v>323200.00000000023</v>
      </c>
      <c r="H12" s="7">
        <f t="shared" si="3"/>
        <v>623896.08333333337</v>
      </c>
      <c r="I12" s="7">
        <f t="shared" si="4"/>
        <v>4604353.0950000007</v>
      </c>
      <c r="J12" s="7">
        <f t="shared" si="5"/>
        <v>3073902.2225000001</v>
      </c>
      <c r="K12" s="7">
        <f>SUM(K4:K11)</f>
        <v>540488</v>
      </c>
      <c r="L12" s="12">
        <f t="shared" si="6"/>
        <v>0.85249321802675693</v>
      </c>
      <c r="M12" s="7">
        <f t="shared" si="7"/>
        <v>62389.608333333337</v>
      </c>
      <c r="N12" s="6">
        <v>7.38</v>
      </c>
      <c r="O12" s="6">
        <f>AVERAGE(O4:O11)</f>
        <v>6.5075000000000003</v>
      </c>
      <c r="P12" s="6">
        <v>10</v>
      </c>
      <c r="Q12" s="6">
        <f>AVERAGE(Q4:Q11)</f>
        <v>10.428750000000001</v>
      </c>
      <c r="R12" s="12">
        <v>0.68630000000000002</v>
      </c>
      <c r="S12" s="12">
        <f>AVERAGE(S4:S11)</f>
        <v>0.6611125000000001</v>
      </c>
      <c r="T12" s="7">
        <f t="shared" si="8"/>
        <v>61231930.800000004</v>
      </c>
      <c r="U12" s="7">
        <f t="shared" si="9"/>
        <v>71826883.200000003</v>
      </c>
      <c r="V12" s="6">
        <v>27</v>
      </c>
      <c r="W12" s="6">
        <v>16</v>
      </c>
      <c r="X12" s="6">
        <f t="shared" si="10"/>
        <v>11</v>
      </c>
    </row>
    <row r="13" spans="1:24" ht="15.75" customHeight="1" thickTop="1" x14ac:dyDescent="0.25">
      <c r="A13" s="10" t="s">
        <v>36</v>
      </c>
      <c r="B13" s="9">
        <v>125850</v>
      </c>
      <c r="C13" s="9">
        <v>3336726</v>
      </c>
      <c r="D13" s="9">
        <v>2053002</v>
      </c>
      <c r="E13" s="9">
        <f>C13-D13</f>
        <v>1283724</v>
      </c>
      <c r="F13" s="9">
        <f>C13*W13/V13</f>
        <v>1977319.111111111</v>
      </c>
      <c r="G13" s="9">
        <f>F13-D13</f>
        <v>-75682.888888888992</v>
      </c>
      <c r="H13" s="9">
        <f t="shared" si="3"/>
        <v>117464.5</v>
      </c>
      <c r="I13" s="9">
        <f t="shared" si="4"/>
        <v>492176.25500000006</v>
      </c>
      <c r="J13" s="9">
        <f t="shared" si="5"/>
        <v>482005.5</v>
      </c>
      <c r="K13" s="9">
        <v>115814</v>
      </c>
      <c r="L13" s="16">
        <f t="shared" si="6"/>
        <v>0.94906806367395735</v>
      </c>
      <c r="M13" s="9">
        <f t="shared" si="7"/>
        <v>11653.224206349207</v>
      </c>
      <c r="N13" s="8">
        <v>4.1900000000000004</v>
      </c>
      <c r="O13" s="8">
        <v>3.83</v>
      </c>
      <c r="P13" s="8">
        <v>10.08</v>
      </c>
      <c r="Q13" s="8">
        <v>10.1</v>
      </c>
      <c r="R13" s="11">
        <v>0.79</v>
      </c>
      <c r="S13" s="11">
        <v>0.75069999999999992</v>
      </c>
      <c r="T13" s="9">
        <f t="shared" si="8"/>
        <v>7862997.6600000001</v>
      </c>
      <c r="U13" s="9">
        <f t="shared" si="9"/>
        <v>8284967.0755555555</v>
      </c>
      <c r="V13" s="8">
        <v>27</v>
      </c>
      <c r="W13" s="8">
        <v>16</v>
      </c>
      <c r="X13" s="8">
        <f t="shared" si="10"/>
        <v>11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16423830</v>
      </c>
      <c r="B18" s="13">
        <f>D12</f>
        <v>9409440</v>
      </c>
      <c r="C18" s="13">
        <f>QUOTIENT(B12,10000)*10000</f>
        <v>470000</v>
      </c>
      <c r="D18" s="13">
        <f t="shared" ref="D18:D23" si="12">C18*$X$12</f>
        <v>5170000</v>
      </c>
      <c r="E18" s="13">
        <f t="shared" ref="E18:E23" si="13">$D$12+D18</f>
        <v>14579440</v>
      </c>
      <c r="F18" s="13">
        <f t="shared" ref="F18:F23" si="14">$C$12-E18</f>
        <v>1844390</v>
      </c>
      <c r="M18" s="1"/>
    </row>
    <row r="19" spans="1:13" x14ac:dyDescent="0.25">
      <c r="A19" s="15" t="s">
        <v>44</v>
      </c>
      <c r="B19" s="14"/>
      <c r="C19" s="13">
        <f>C18+35000</f>
        <v>505000</v>
      </c>
      <c r="D19" s="13">
        <f t="shared" si="12"/>
        <v>5555000</v>
      </c>
      <c r="E19" s="13">
        <f t="shared" si="13"/>
        <v>14964440</v>
      </c>
      <c r="F19" s="13">
        <f t="shared" si="14"/>
        <v>1459390</v>
      </c>
      <c r="M19" s="1"/>
    </row>
    <row r="20" spans="1:13" x14ac:dyDescent="0.25">
      <c r="A20" s="15" t="s">
        <v>44</v>
      </c>
      <c r="B20" s="14"/>
      <c r="C20" s="13">
        <f>C19+35000</f>
        <v>540000</v>
      </c>
      <c r="D20" s="13">
        <f t="shared" si="12"/>
        <v>5940000</v>
      </c>
      <c r="E20" s="13">
        <f t="shared" si="13"/>
        <v>15349440</v>
      </c>
      <c r="F20" s="13">
        <f t="shared" si="14"/>
        <v>1074390</v>
      </c>
    </row>
    <row r="21" spans="1:13" x14ac:dyDescent="0.25">
      <c r="A21" s="15" t="s">
        <v>44</v>
      </c>
      <c r="B21" s="14"/>
      <c r="C21" s="13">
        <f>C20+35000</f>
        <v>575000</v>
      </c>
      <c r="D21" s="13">
        <f t="shared" si="12"/>
        <v>6325000</v>
      </c>
      <c r="E21" s="13">
        <f t="shared" si="13"/>
        <v>15734440</v>
      </c>
      <c r="F21" s="13">
        <f t="shared" si="14"/>
        <v>689390</v>
      </c>
    </row>
    <row r="22" spans="1:13" x14ac:dyDescent="0.25">
      <c r="A22" s="15" t="s">
        <v>44</v>
      </c>
      <c r="B22" s="14"/>
      <c r="C22" s="13">
        <f>C21+35000</f>
        <v>610000</v>
      </c>
      <c r="D22" s="13">
        <f t="shared" si="12"/>
        <v>6710000</v>
      </c>
      <c r="E22" s="13">
        <f t="shared" si="13"/>
        <v>16119440</v>
      </c>
      <c r="F22" s="13">
        <f t="shared" si="14"/>
        <v>304390</v>
      </c>
    </row>
    <row r="23" spans="1:13" x14ac:dyDescent="0.25">
      <c r="A23" s="15" t="s">
        <v>44</v>
      </c>
      <c r="B23" s="14"/>
      <c r="C23" s="13">
        <f>C22+35000</f>
        <v>645000</v>
      </c>
      <c r="D23" s="13">
        <f t="shared" si="12"/>
        <v>7095000</v>
      </c>
      <c r="E23" s="13">
        <f t="shared" si="13"/>
        <v>16504440</v>
      </c>
      <c r="F23" s="13">
        <f t="shared" si="14"/>
        <v>-80610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2025-12-20T05:19:57Z</dcterms:modified>
</cp:coreProperties>
</file>