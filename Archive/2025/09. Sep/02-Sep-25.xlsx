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9. Sep\"/>
    </mc:Choice>
  </mc:AlternateContent>
  <xr:revisionPtr revIDLastSave="0" documentId="13_ncr:1_{34C1AB2E-EAF5-49C6-A0D6-9BC8FA6EA73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T13" i="1"/>
  <c r="J13" i="1"/>
  <c r="F13" i="1"/>
  <c r="G13" i="1" s="1"/>
  <c r="E13" i="1"/>
  <c r="H13" i="1" s="1"/>
  <c r="W12" i="1"/>
  <c r="X12" i="1" s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T11" i="1"/>
  <c r="J11" i="1"/>
  <c r="G11" i="1"/>
  <c r="F11" i="1"/>
  <c r="U11" i="1" s="1"/>
  <c r="L11" i="1" s="1"/>
  <c r="E11" i="1"/>
  <c r="X10" i="1"/>
  <c r="H10" i="1" s="1"/>
  <c r="T10" i="1"/>
  <c r="J10" i="1"/>
  <c r="F10" i="1"/>
  <c r="G10" i="1" s="1"/>
  <c r="E10" i="1"/>
  <c r="X9" i="1"/>
  <c r="T9" i="1"/>
  <c r="J9" i="1"/>
  <c r="F9" i="1"/>
  <c r="U9" i="1" s="1"/>
  <c r="E9" i="1"/>
  <c r="H9" i="1" s="1"/>
  <c r="X8" i="1"/>
  <c r="T8" i="1"/>
  <c r="J8" i="1"/>
  <c r="H8" i="1"/>
  <c r="M8" i="1" s="1"/>
  <c r="F8" i="1"/>
  <c r="G8" i="1" s="1"/>
  <c r="E8" i="1"/>
  <c r="X7" i="1"/>
  <c r="H7" i="1" s="1"/>
  <c r="T7" i="1"/>
  <c r="J7" i="1"/>
  <c r="G7" i="1"/>
  <c r="F7" i="1"/>
  <c r="U7" i="1" s="1"/>
  <c r="L7" i="1" s="1"/>
  <c r="E7" i="1"/>
  <c r="X6" i="1"/>
  <c r="H6" i="1" s="1"/>
  <c r="T6" i="1"/>
  <c r="J6" i="1"/>
  <c r="F6" i="1"/>
  <c r="G6" i="1" s="1"/>
  <c r="E6" i="1"/>
  <c r="X5" i="1"/>
  <c r="T5" i="1"/>
  <c r="L5" i="1" s="1"/>
  <c r="J5" i="1"/>
  <c r="F5" i="1"/>
  <c r="U5" i="1" s="1"/>
  <c r="E5" i="1"/>
  <c r="H5" i="1" s="1"/>
  <c r="X4" i="1"/>
  <c r="T4" i="1"/>
  <c r="J4" i="1"/>
  <c r="H4" i="1"/>
  <c r="I4" i="1" s="1"/>
  <c r="F4" i="1"/>
  <c r="G4" i="1" s="1"/>
  <c r="E4" i="1"/>
  <c r="E12" i="1" s="1"/>
  <c r="I7" i="1" l="1"/>
  <c r="M7" i="1"/>
  <c r="I10" i="1"/>
  <c r="M10" i="1"/>
  <c r="M5" i="1"/>
  <c r="I5" i="1"/>
  <c r="I6" i="1"/>
  <c r="M6" i="1"/>
  <c r="L9" i="1"/>
  <c r="I11" i="1"/>
  <c r="M11" i="1"/>
  <c r="H12" i="1"/>
  <c r="L4" i="1"/>
  <c r="M9" i="1"/>
  <c r="I9" i="1"/>
  <c r="I13" i="1"/>
  <c r="M13" i="1"/>
  <c r="U6" i="1"/>
  <c r="L6" i="1" s="1"/>
  <c r="U10" i="1"/>
  <c r="L10" i="1" s="1"/>
  <c r="I8" i="1"/>
  <c r="C18" i="1"/>
  <c r="M4" i="1"/>
  <c r="F12" i="1"/>
  <c r="U12" i="1" s="1"/>
  <c r="L12" i="1" s="1"/>
  <c r="U13" i="1"/>
  <c r="L13" i="1" s="1"/>
  <c r="U4" i="1"/>
  <c r="G5" i="1"/>
  <c r="G12" i="1" s="1"/>
  <c r="U8" i="1"/>
  <c r="L8" i="1" s="1"/>
  <c r="G9" i="1"/>
  <c r="A18" i="1"/>
  <c r="M12" i="1" l="1"/>
  <c r="I12" i="1"/>
  <c r="D18" i="1"/>
  <c r="E18" i="1" s="1"/>
  <c r="F18" i="1" s="1"/>
  <c r="C19" i="1"/>
  <c r="D19" i="1" l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<sst xmlns="http://schemas.openxmlformats.org/spreadsheetml/2006/main" count="49" uniqueCount="45">
  <si>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</si>
  <si>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</si>
  <si>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02-Sep-25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</si>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</sst>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W13" sqref="W1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66469</v>
      </c>
      <c r="C4" s="9">
        <v>2061190</v>
      </c>
      <c r="D4" s="9">
        <v>129190</v>
      </c>
      <c r="E4" s="9">
        <f t="shared" ref="E4:E11" si="0">C4-D4</f>
        <v>1932000</v>
      </c>
      <c r="F4" s="9">
        <f t="shared" ref="F4:F11" si="1">C4*W4/V4</f>
        <v>164895.20000000001</v>
      </c>
      <c r="G4" s="9">
        <f t="shared" ref="G4:G11" si="2">F4-D4</f>
        <v>35705.200000000012</v>
      </c>
      <c r="H4" s="9">
        <f t="shared" ref="H4:H13" si="3">(E4+B4)/(X4+1)</f>
        <v>83269.541666666672</v>
      </c>
      <c r="I4" s="9">
        <f t="shared" ref="I4:I13" si="4">H4*N4</f>
        <v>572061.75125000009</v>
      </c>
      <c r="J4" s="9">
        <f t="shared" ref="J4:J13" si="5">B4*O4</f>
        <v>547704.56000000006</v>
      </c>
      <c r="K4" s="9">
        <v>67947</v>
      </c>
      <c r="L4" s="16">
        <f t="shared" ref="L4:L13" si="6">T4/U4</f>
        <v>0.93970461361995106</v>
      </c>
      <c r="M4" s="9">
        <f t="shared" ref="M4:M13" si="7">H4/P4</f>
        <v>8326.9541666666664</v>
      </c>
      <c r="N4" s="8">
        <v>6.87</v>
      </c>
      <c r="O4" s="8">
        <v>8.24</v>
      </c>
      <c r="P4" s="8">
        <v>10</v>
      </c>
      <c r="Q4" s="8">
        <v>8.85</v>
      </c>
      <c r="R4" s="11">
        <v>0.68</v>
      </c>
      <c r="S4" s="11">
        <v>0.70369999999999999</v>
      </c>
      <c r="T4" s="9">
        <f t="shared" ref="T4:T13" si="8">O4*D4</f>
        <v>1064525.6000000001</v>
      </c>
      <c r="U4" s="9">
        <f t="shared" ref="U4:U13" si="9">N4*F4</f>
        <v>1132830.0240000002</v>
      </c>
      <c r="V4" s="8">
        <v>25</v>
      </c>
      <c r="W4" s="8">
        <v>2</v>
      </c>
      <c r="X4" s="8">
        <f t="shared" ref="X4:X13" si="10">V4-W4</f>
        <v>23</v>
      </c>
    </row>
    <row r="5" spans="1:24" x14ac:dyDescent="0.25">
      <c r="A5" s="10" t="s">
        <v>28</v>
      </c>
      <c r="B5" s="9">
        <v>8900</v>
      </c>
      <c r="C5" s="9">
        <v>252869</v>
      </c>
      <c r="D5" s="9">
        <v>19000</v>
      </c>
      <c r="E5" s="9">
        <f t="shared" si="0"/>
        <v>233869</v>
      </c>
      <c r="F5" s="9">
        <f t="shared" si="1"/>
        <v>20229.52</v>
      </c>
      <c r="G5" s="9">
        <f t="shared" si="2"/>
        <v>1229.5200000000004</v>
      </c>
      <c r="H5" s="9">
        <f t="shared" si="3"/>
        <v>10115.375</v>
      </c>
      <c r="I5" s="9">
        <f t="shared" si="4"/>
        <v>65143.015000000007</v>
      </c>
      <c r="J5" s="9">
        <f t="shared" si="5"/>
        <v>60965</v>
      </c>
      <c r="K5" s="9">
        <v>9283</v>
      </c>
      <c r="L5" s="16">
        <f t="shared" si="6"/>
        <v>0.99901665136852202</v>
      </c>
      <c r="M5" s="17">
        <f t="shared" si="7"/>
        <v>1011.5375</v>
      </c>
      <c r="N5" s="8">
        <v>6.44</v>
      </c>
      <c r="O5" s="8">
        <v>6.85</v>
      </c>
      <c r="P5" s="8">
        <v>10</v>
      </c>
      <c r="Q5" s="8">
        <v>9.17</v>
      </c>
      <c r="R5" s="11">
        <v>0.66</v>
      </c>
      <c r="S5" s="11">
        <v>0.71920000000000006</v>
      </c>
      <c r="T5" s="9">
        <f t="shared" si="8"/>
        <v>130150</v>
      </c>
      <c r="U5" s="9">
        <f t="shared" si="9"/>
        <v>130278.10880000002</v>
      </c>
      <c r="V5" s="8">
        <v>25</v>
      </c>
      <c r="W5" s="8">
        <v>2</v>
      </c>
      <c r="X5" s="8">
        <f t="shared" si="10"/>
        <v>23</v>
      </c>
    </row>
    <row r="6" spans="1:24" x14ac:dyDescent="0.25">
      <c r="A6" s="10" t="s">
        <v>29</v>
      </c>
      <c r="B6" s="9">
        <v>44057</v>
      </c>
      <c r="C6" s="9">
        <v>1022653</v>
      </c>
      <c r="D6" s="9">
        <v>88232</v>
      </c>
      <c r="E6" s="9">
        <f t="shared" si="0"/>
        <v>934421</v>
      </c>
      <c r="F6" s="9">
        <f t="shared" si="1"/>
        <v>81812.240000000005</v>
      </c>
      <c r="G6" s="9">
        <f t="shared" si="2"/>
        <v>-6419.7599999999948</v>
      </c>
      <c r="H6" s="9">
        <f t="shared" si="3"/>
        <v>40769.916666666664</v>
      </c>
      <c r="I6" s="9">
        <f t="shared" si="4"/>
        <v>265412.15749999997</v>
      </c>
      <c r="J6" s="9">
        <f t="shared" si="5"/>
        <v>279761.95</v>
      </c>
      <c r="K6" s="9">
        <v>40038</v>
      </c>
      <c r="L6" s="16">
        <f t="shared" si="6"/>
        <v>1.0519632708037483</v>
      </c>
      <c r="M6" s="9">
        <f t="shared" si="7"/>
        <v>5096.239583333333</v>
      </c>
      <c r="N6" s="8">
        <v>6.51</v>
      </c>
      <c r="O6" s="8">
        <v>6.35</v>
      </c>
      <c r="P6" s="8">
        <v>8</v>
      </c>
      <c r="Q6" s="8">
        <v>8.11</v>
      </c>
      <c r="R6" s="11">
        <v>0.71799999999999997</v>
      </c>
      <c r="S6" s="11">
        <v>0.77540000000000009</v>
      </c>
      <c r="T6" s="9">
        <f t="shared" si="8"/>
        <v>560273.19999999995</v>
      </c>
      <c r="U6" s="9">
        <f t="shared" si="9"/>
        <v>532597.68240000005</v>
      </c>
      <c r="V6" s="8">
        <v>25</v>
      </c>
      <c r="W6" s="8">
        <v>2</v>
      </c>
      <c r="X6" s="8">
        <f t="shared" si="10"/>
        <v>23</v>
      </c>
    </row>
    <row r="7" spans="1:24" x14ac:dyDescent="0.25">
      <c r="A7" s="10" t="s">
        <v>30</v>
      </c>
      <c r="B7" s="9">
        <v>64905</v>
      </c>
      <c r="C7" s="9">
        <v>1740159</v>
      </c>
      <c r="D7" s="9">
        <v>124566</v>
      </c>
      <c r="E7" s="9">
        <f t="shared" si="0"/>
        <v>1615593</v>
      </c>
      <c r="F7" s="9">
        <f t="shared" si="1"/>
        <v>139212.72</v>
      </c>
      <c r="G7" s="9">
        <f t="shared" si="2"/>
        <v>14646.720000000001</v>
      </c>
      <c r="H7" s="9">
        <f t="shared" si="3"/>
        <v>70020.75</v>
      </c>
      <c r="I7" s="9">
        <f t="shared" si="4"/>
        <v>708609.99</v>
      </c>
      <c r="J7" s="9">
        <f t="shared" si="5"/>
        <v>573760.19999999995</v>
      </c>
      <c r="K7" s="9">
        <v>69723</v>
      </c>
      <c r="L7" s="16">
        <f t="shared" si="6"/>
        <v>0.78161404073414065</v>
      </c>
      <c r="M7" s="9">
        <f t="shared" si="7"/>
        <v>7780.083333333333</v>
      </c>
      <c r="N7" s="8">
        <v>10.119999999999999</v>
      </c>
      <c r="O7" s="8">
        <v>8.84</v>
      </c>
      <c r="P7" s="8">
        <v>9</v>
      </c>
      <c r="Q7" s="8">
        <v>8.75</v>
      </c>
      <c r="R7" s="11">
        <v>0.58799999999999997</v>
      </c>
      <c r="S7" s="11">
        <v>0.60770000000000002</v>
      </c>
      <c r="T7" s="9">
        <f t="shared" si="8"/>
        <v>1101163.44</v>
      </c>
      <c r="U7" s="9">
        <f t="shared" si="9"/>
        <v>1408832.7263999998</v>
      </c>
      <c r="V7" s="8">
        <v>25</v>
      </c>
      <c r="W7" s="8">
        <v>2</v>
      </c>
      <c r="X7" s="8">
        <f t="shared" si="10"/>
        <v>23</v>
      </c>
    </row>
    <row r="8" spans="1:24" x14ac:dyDescent="0.25">
      <c r="A8" s="10" t="s">
        <v>31</v>
      </c>
      <c r="B8" s="9">
        <v>69844</v>
      </c>
      <c r="C8" s="9">
        <v>2149237</v>
      </c>
      <c r="D8" s="9">
        <v>140802</v>
      </c>
      <c r="E8" s="9">
        <f t="shared" si="0"/>
        <v>2008435</v>
      </c>
      <c r="F8" s="9">
        <f t="shared" si="1"/>
        <v>171938.96</v>
      </c>
      <c r="G8" s="9">
        <f t="shared" si="2"/>
        <v>31136.959999999992</v>
      </c>
      <c r="H8" s="9">
        <f t="shared" si="3"/>
        <v>86594.958333333328</v>
      </c>
      <c r="I8" s="9">
        <f t="shared" si="4"/>
        <v>637338.89333333331</v>
      </c>
      <c r="J8" s="9">
        <f t="shared" si="5"/>
        <v>525925.32000000007</v>
      </c>
      <c r="K8" s="9">
        <v>78726</v>
      </c>
      <c r="L8" s="16">
        <f t="shared" si="6"/>
        <v>0.83782186485654941</v>
      </c>
      <c r="M8" s="9">
        <f t="shared" si="7"/>
        <v>8659.4958333333325</v>
      </c>
      <c r="N8" s="8">
        <v>7.36</v>
      </c>
      <c r="O8" s="8">
        <v>7.53</v>
      </c>
      <c r="P8" s="8">
        <v>10</v>
      </c>
      <c r="Q8" s="8">
        <v>9.16</v>
      </c>
      <c r="R8" s="11">
        <v>0.64</v>
      </c>
      <c r="S8" s="11">
        <v>0.65749999999999997</v>
      </c>
      <c r="T8" s="9">
        <f t="shared" si="8"/>
        <v>1060239.06</v>
      </c>
      <c r="U8" s="9">
        <f t="shared" si="9"/>
        <v>1265470.7456</v>
      </c>
      <c r="V8" s="8">
        <v>25</v>
      </c>
      <c r="W8" s="8">
        <v>2</v>
      </c>
      <c r="X8" s="8">
        <f t="shared" si="10"/>
        <v>23</v>
      </c>
    </row>
    <row r="9" spans="1:24" x14ac:dyDescent="0.25">
      <c r="A9" s="10" t="s">
        <v>32</v>
      </c>
      <c r="B9" s="9">
        <v>69700</v>
      </c>
      <c r="C9" s="9">
        <v>2425855</v>
      </c>
      <c r="D9" s="9">
        <v>135570</v>
      </c>
      <c r="E9" s="9">
        <f t="shared" si="0"/>
        <v>2290285</v>
      </c>
      <c r="F9" s="9">
        <f t="shared" si="1"/>
        <v>194068.4</v>
      </c>
      <c r="G9" s="9">
        <f t="shared" si="2"/>
        <v>58498.399999999994</v>
      </c>
      <c r="H9" s="9">
        <f t="shared" si="3"/>
        <v>98332.708333333328</v>
      </c>
      <c r="I9" s="9">
        <f t="shared" si="4"/>
        <v>650962.52916666667</v>
      </c>
      <c r="J9" s="9">
        <f t="shared" si="5"/>
        <v>500446</v>
      </c>
      <c r="K9" s="9">
        <v>73361</v>
      </c>
      <c r="L9" s="16">
        <f t="shared" si="6"/>
        <v>0.7576615105792488</v>
      </c>
      <c r="M9" s="9">
        <f t="shared" si="7"/>
        <v>9833.2708333333321</v>
      </c>
      <c r="N9" s="8">
        <v>6.62</v>
      </c>
      <c r="O9" s="8">
        <v>7.18</v>
      </c>
      <c r="P9" s="8">
        <v>10</v>
      </c>
      <c r="Q9" s="8">
        <v>8.3800000000000008</v>
      </c>
      <c r="R9" s="11">
        <v>0.68</v>
      </c>
      <c r="S9" s="11">
        <v>0.67079999999999995</v>
      </c>
      <c r="T9" s="9">
        <f t="shared" si="8"/>
        <v>973392.6</v>
      </c>
      <c r="U9" s="9">
        <f t="shared" si="9"/>
        <v>1284732.808</v>
      </c>
      <c r="V9" s="8">
        <v>25</v>
      </c>
      <c r="W9" s="8">
        <v>2</v>
      </c>
      <c r="X9" s="8">
        <f t="shared" si="10"/>
        <v>23</v>
      </c>
    </row>
    <row r="10" spans="1:24" ht="14.25" customHeight="1" x14ac:dyDescent="0.25">
      <c r="A10" s="10" t="s">
        <v>33</v>
      </c>
      <c r="B10" s="9">
        <v>92922</v>
      </c>
      <c r="C10" s="9">
        <v>2998611</v>
      </c>
      <c r="D10" s="9">
        <v>189296</v>
      </c>
      <c r="E10" s="9">
        <f t="shared" si="0"/>
        <v>2809315</v>
      </c>
      <c r="F10" s="9">
        <f t="shared" si="1"/>
        <v>239888.88</v>
      </c>
      <c r="G10" s="9">
        <f t="shared" si="2"/>
        <v>50592.880000000005</v>
      </c>
      <c r="H10" s="9">
        <f t="shared" si="3"/>
        <v>120926.54166666667</v>
      </c>
      <c r="I10" s="9">
        <f t="shared" si="4"/>
        <v>1078664.7516666667</v>
      </c>
      <c r="J10" s="9">
        <f t="shared" si="5"/>
        <v>846519.41999999993</v>
      </c>
      <c r="K10" s="9">
        <v>96356</v>
      </c>
      <c r="L10" s="16">
        <f t="shared" si="6"/>
        <v>0.8059068418932076</v>
      </c>
      <c r="M10" s="9">
        <f t="shared" si="7"/>
        <v>12092.654166666667</v>
      </c>
      <c r="N10" s="8">
        <v>8.92</v>
      </c>
      <c r="O10" s="8">
        <v>9.11</v>
      </c>
      <c r="P10" s="8">
        <v>10</v>
      </c>
      <c r="Q10" s="8">
        <v>8.39</v>
      </c>
      <c r="R10" s="11">
        <v>0.65</v>
      </c>
      <c r="S10" s="11">
        <v>0.67500000000000004</v>
      </c>
      <c r="T10" s="9">
        <f t="shared" si="8"/>
        <v>1724486.5599999998</v>
      </c>
      <c r="U10" s="9">
        <f t="shared" si="9"/>
        <v>2139808.8095999998</v>
      </c>
      <c r="V10" s="8">
        <v>25</v>
      </c>
      <c r="W10" s="8">
        <v>2</v>
      </c>
      <c r="X10" s="8">
        <f t="shared" si="10"/>
        <v>23</v>
      </c>
    </row>
    <row r="11" spans="1:24" ht="14.25" customHeight="1" thickBot="1" x14ac:dyDescent="0.3">
      <c r="A11" s="21" t="s">
        <v>34</v>
      </c>
      <c r="B11" s="22">
        <v>2048</v>
      </c>
      <c r="C11" s="22">
        <v>6632</v>
      </c>
      <c r="D11" s="22">
        <v>5679</v>
      </c>
      <c r="E11" s="9">
        <f t="shared" si="0"/>
        <v>953</v>
      </c>
      <c r="F11" s="9">
        <f t="shared" si="1"/>
        <v>530.55999999999995</v>
      </c>
      <c r="G11" s="9">
        <f t="shared" si="2"/>
        <v>-5148.4400000000005</v>
      </c>
      <c r="H11" s="9">
        <f t="shared" si="3"/>
        <v>125.04166666666667</v>
      </c>
      <c r="I11" s="9">
        <f t="shared" si="4"/>
        <v>1139.1295833333334</v>
      </c>
      <c r="J11" s="9">
        <f t="shared" si="5"/>
        <v>6184.96</v>
      </c>
      <c r="K11" s="9">
        <v>4406</v>
      </c>
      <c r="L11" s="16">
        <f t="shared" si="6"/>
        <v>3.5483457447442408</v>
      </c>
      <c r="M11" s="9">
        <f t="shared" si="7"/>
        <v>15.630208333333334</v>
      </c>
      <c r="N11" s="18">
        <v>9.11</v>
      </c>
      <c r="O11" s="18">
        <v>3.02</v>
      </c>
      <c r="P11" s="18">
        <v>8</v>
      </c>
      <c r="Q11" s="18">
        <v>8.16</v>
      </c>
      <c r="R11" s="19">
        <v>0.63</v>
      </c>
      <c r="S11" s="19">
        <v>5.2400000000000002E-2</v>
      </c>
      <c r="T11" s="9">
        <f t="shared" si="8"/>
        <v>17150.580000000002</v>
      </c>
      <c r="U11" s="9">
        <f t="shared" si="9"/>
        <v>4833.4015999999992</v>
      </c>
      <c r="V11" s="18">
        <v>25</v>
      </c>
      <c r="W11" s="18">
        <v>2</v>
      </c>
      <c r="X11" s="8">
        <f t="shared" si="10"/>
        <v>23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418845</v>
      </c>
      <c r="C12" s="7">
        <f t="shared" si="11"/>
        <v>12657206</v>
      </c>
      <c r="D12" s="7">
        <f t="shared" si="11"/>
        <v>832335</v>
      </c>
      <c r="E12" s="7">
        <f t="shared" si="11"/>
        <v>11824871</v>
      </c>
      <c r="F12" s="7">
        <f t="shared" si="11"/>
        <v>1012576.4800000001</v>
      </c>
      <c r="G12" s="7">
        <f t="shared" si="11"/>
        <v>180241.48</v>
      </c>
      <c r="H12" s="7">
        <f t="shared" si="3"/>
        <v>510154.83333333331</v>
      </c>
      <c r="I12" s="7">
        <f t="shared" si="4"/>
        <v>4025121.6349999998</v>
      </c>
      <c r="J12" s="7">
        <f t="shared" si="5"/>
        <v>2990553.3</v>
      </c>
      <c r="K12" s="7">
        <f>SUM(K4:K11)</f>
        <v>439840</v>
      </c>
      <c r="L12" s="12">
        <f t="shared" si="6"/>
        <v>0.74386055601652246</v>
      </c>
      <c r="M12" s="7">
        <f t="shared" si="7"/>
        <v>52593.281786941581</v>
      </c>
      <c r="N12" s="6">
        <v>7.89</v>
      </c>
      <c r="O12" s="6">
        <f>AVERAGE(O4:O11)</f>
        <v>7.14</v>
      </c>
      <c r="P12" s="6">
        <v>9.6999999999999993</v>
      </c>
      <c r="Q12" s="6">
        <f>AVERAGE(Q4:Q11)</f>
        <v>8.6212499999999999</v>
      </c>
      <c r="R12" s="12">
        <v>0.65659999999999996</v>
      </c>
      <c r="S12" s="12">
        <f>AVERAGE(S4:S11)</f>
        <v>0.60771249999999988</v>
      </c>
      <c r="T12" s="7">
        <f t="shared" si="8"/>
        <v>5942871.8999999994</v>
      </c>
      <c r="U12" s="7">
        <f t="shared" si="9"/>
        <v>7989228.4272000007</v>
      </c>
      <c r="V12" s="6">
        <v>25</v>
      </c>
      <c r="W12" s="6">
        <f>W11</f>
        <v>2</v>
      </c>
      <c r="X12" s="6">
        <f t="shared" si="10"/>
        <v>23</v>
      </c>
    </row>
    <row r="13" spans="1:24" ht="15.75" customHeight="1" thickTop="1" x14ac:dyDescent="0.25">
      <c r="A13" s="10" t="s">
        <v>36</v>
      </c>
      <c r="B13" s="9">
        <v>112370</v>
      </c>
      <c r="C13" s="9">
        <v>3797404</v>
      </c>
      <c r="D13" s="9">
        <v>228322</v>
      </c>
      <c r="E13" s="9">
        <f>C13-D13</f>
        <v>3569082</v>
      </c>
      <c r="F13" s="9">
        <f>C13*W13/V13</f>
        <v>303792.32</v>
      </c>
      <c r="G13" s="9">
        <f>F13-D13</f>
        <v>75470.320000000007</v>
      </c>
      <c r="H13" s="9">
        <f t="shared" si="3"/>
        <v>153393.83333333334</v>
      </c>
      <c r="I13" s="9">
        <f t="shared" si="4"/>
        <v>622778.96333333326</v>
      </c>
      <c r="J13" s="9">
        <f t="shared" si="5"/>
        <v>439366.7</v>
      </c>
      <c r="K13" s="9">
        <v>115319</v>
      </c>
      <c r="L13" s="16">
        <f t="shared" si="6"/>
        <v>0.72380519075689231</v>
      </c>
      <c r="M13" s="9">
        <f t="shared" si="7"/>
        <v>13944.89393939394</v>
      </c>
      <c r="N13" s="8">
        <v>4.0599999999999996</v>
      </c>
      <c r="O13" s="8">
        <v>3.91</v>
      </c>
      <c r="P13" s="8">
        <v>11</v>
      </c>
      <c r="Q13" s="8">
        <v>9.39</v>
      </c>
      <c r="R13" s="11">
        <v>0.78</v>
      </c>
      <c r="S13" s="11">
        <v>0.70909999999999995</v>
      </c>
      <c r="T13" s="9">
        <f t="shared" si="8"/>
        <v>892739.02</v>
      </c>
      <c r="U13" s="9">
        <f t="shared" si="9"/>
        <v>1233396.8191999998</v>
      </c>
      <c r="V13" s="8">
        <v>25</v>
      </c>
      <c r="W13" s="8">
        <v>2</v>
      </c>
      <c r="X13" s="8">
        <f t="shared" si="10"/>
        <v>23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12657206</v>
      </c>
      <c r="B18" s="13">
        <f>D12</f>
        <v>832335</v>
      </c>
      <c r="C18" s="13">
        <f>QUOTIENT(B12,10000)*10000</f>
        <v>410000</v>
      </c>
      <c r="D18" s="13">
        <f t="shared" ref="D18:D23" si="12">C18*$X$12</f>
        <v>9430000</v>
      </c>
      <c r="E18" s="13">
        <f t="shared" ref="E18:E23" si="13">$D$12+D18</f>
        <v>10262335</v>
      </c>
      <c r="F18" s="13">
        <f t="shared" ref="F18:F23" si="14">$C$12-E18</f>
        <v>2394871</v>
      </c>
      <c r="M18" s="1"/>
    </row>
    <row r="19" spans="1:13" x14ac:dyDescent="0.25">
      <c r="A19" s="15" t="s">
        <v>44</v>
      </c>
      <c r="B19" s="14"/>
      <c r="C19" s="13">
        <f>C18+35000</f>
        <v>445000</v>
      </c>
      <c r="D19" s="13">
        <f t="shared" si="12"/>
        <v>10235000</v>
      </c>
      <c r="E19" s="13">
        <f t="shared" si="13"/>
        <v>11067335</v>
      </c>
      <c r="F19" s="13">
        <f t="shared" si="14"/>
        <v>1589871</v>
      </c>
      <c r="M19" s="1"/>
    </row>
    <row r="20" spans="1:13" x14ac:dyDescent="0.25">
      <c r="A20" s="15" t="s">
        <v>44</v>
      </c>
      <c r="B20" s="14"/>
      <c r="C20" s="13">
        <f>C19+35000</f>
        <v>480000</v>
      </c>
      <c r="D20" s="13">
        <f t="shared" si="12"/>
        <v>11040000</v>
      </c>
      <c r="E20" s="13">
        <f t="shared" si="13"/>
        <v>11872335</v>
      </c>
      <c r="F20" s="13">
        <f t="shared" si="14"/>
        <v>784871</v>
      </c>
    </row>
    <row r="21" spans="1:13" x14ac:dyDescent="0.25">
      <c r="A21" s="15" t="s">
        <v>44</v>
      </c>
      <c r="B21" s="14"/>
      <c r="C21" s="13">
        <f>C20+35000</f>
        <v>515000</v>
      </c>
      <c r="D21" s="13">
        <f t="shared" si="12"/>
        <v>11845000</v>
      </c>
      <c r="E21" s="13">
        <f t="shared" si="13"/>
        <v>12677335</v>
      </c>
      <c r="F21" s="13">
        <f t="shared" si="14"/>
        <v>-20129</v>
      </c>
    </row>
    <row r="22" spans="1:13" x14ac:dyDescent="0.25">
      <c r="A22" s="15" t="s">
        <v>44</v>
      </c>
      <c r="B22" s="14"/>
      <c r="C22" s="13">
        <f>C21+35000</f>
        <v>550000</v>
      </c>
      <c r="D22" s="13">
        <f t="shared" si="12"/>
        <v>12650000</v>
      </c>
      <c r="E22" s="13">
        <f t="shared" si="13"/>
        <v>13482335</v>
      </c>
      <c r="F22" s="13">
        <f t="shared" si="14"/>
        <v>-825129</v>
      </c>
    </row>
    <row r="23" spans="1:13" x14ac:dyDescent="0.25">
      <c r="A23" s="15" t="s">
        <v>44</v>
      </c>
      <c r="B23" s="14"/>
      <c r="C23" s="13">
        <f>C22+35000</f>
        <v>585000</v>
      </c>
      <c r="D23" s="13">
        <f t="shared" si="12"/>
        <v>13455000</v>
      </c>
      <c r="E23" s="13">
        <f t="shared" si="13"/>
        <v>14287335</v>
      </c>
      <c r="F23" s="13">
        <f t="shared" si="14"/>
        <v>-1630129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2025-09-03T05:35:32Z</dcterms:modified>
</cp:coreProperties>
</file>