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V10" sqref="V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20-Aug-25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67518</v>
      </c>
      <c r="C4" s="9" t="n">
        <v>1688592</v>
      </c>
      <c r="D4" s="9" t="n">
        <v>1047953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74022</v>
      </c>
      <c r="L4" s="16">
        <f>T4/U4</f>
        <v/>
      </c>
      <c r="M4" s="9">
        <f>H4/P4</f>
        <v/>
      </c>
      <c r="N4" s="8" t="n">
        <v>8.1</v>
      </c>
      <c r="O4" s="8" t="n">
        <v>8.52</v>
      </c>
      <c r="P4" s="8" t="n">
        <v>9</v>
      </c>
      <c r="Q4" s="8" t="n">
        <v>9.6</v>
      </c>
      <c r="R4" s="11" t="n">
        <v>0.68</v>
      </c>
      <c r="S4" s="11" t="n">
        <v>0.6820000000000001</v>
      </c>
      <c r="T4" s="9">
        <f>O4*D4</f>
        <v/>
      </c>
      <c r="U4" s="9">
        <f>N4*F4</f>
        <v/>
      </c>
      <c r="V4" s="8" t="n">
        <v>25</v>
      </c>
      <c r="W4" s="8" t="n">
        <v>16</v>
      </c>
      <c r="X4" s="8">
        <f>V4-W4</f>
        <v/>
      </c>
    </row>
    <row r="5">
      <c r="A5" s="10" t="inlineStr">
        <is>
          <t>JAL3</t>
        </is>
      </c>
      <c r="B5" s="9" t="n">
        <v>9940</v>
      </c>
      <c r="C5" s="9" t="n">
        <v>206218</v>
      </c>
      <c r="D5" s="9" t="n">
        <v>153000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8729</v>
      </c>
      <c r="L5" s="16">
        <f>T5/U5</f>
        <v/>
      </c>
      <c r="M5" s="17">
        <f>H5/P5</f>
        <v/>
      </c>
      <c r="N5" s="8" t="n">
        <v>8.1</v>
      </c>
      <c r="O5" s="8" t="n">
        <v>5.89</v>
      </c>
      <c r="P5" s="8" t="n">
        <v>9</v>
      </c>
      <c r="Q5" s="8" t="n">
        <v>8.25</v>
      </c>
      <c r="R5" s="11" t="n">
        <v>0.68</v>
      </c>
      <c r="S5" s="11" t="n">
        <v>0.7298</v>
      </c>
      <c r="T5" s="9">
        <f>O5*D5</f>
        <v/>
      </c>
      <c r="U5" s="9">
        <f>N5*F5</f>
        <v/>
      </c>
      <c r="V5" s="8" t="n">
        <v>25</v>
      </c>
      <c r="W5" s="8" t="n">
        <v>16</v>
      </c>
      <c r="X5" s="8">
        <f>V5-W5</f>
        <v/>
      </c>
    </row>
    <row r="6">
      <c r="A6" s="10" t="inlineStr">
        <is>
          <t>JFL</t>
        </is>
      </c>
      <c r="B6" s="9" t="n">
        <v>39316</v>
      </c>
      <c r="C6" s="9" t="n">
        <v>1226090</v>
      </c>
      <c r="D6" s="9" t="n">
        <v>611863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36153</v>
      </c>
      <c r="L6" s="16">
        <f>T6/U6</f>
        <v/>
      </c>
      <c r="M6" s="9">
        <f>H6/P6</f>
        <v/>
      </c>
      <c r="N6" s="8" t="n">
        <v>7.22</v>
      </c>
      <c r="O6" s="8" t="n">
        <v>7.07</v>
      </c>
      <c r="P6" s="8" t="n">
        <v>10</v>
      </c>
      <c r="Q6" s="8" t="n">
        <v>8.56</v>
      </c>
      <c r="R6" s="11" t="n">
        <v>0.718</v>
      </c>
      <c r="S6" s="11" t="n">
        <v>0.7162999999999999</v>
      </c>
      <c r="T6" s="9">
        <f>O6*D6</f>
        <v/>
      </c>
      <c r="U6" s="9">
        <f>N6*F6</f>
        <v/>
      </c>
      <c r="V6" s="8" t="n">
        <v>25</v>
      </c>
      <c r="W6" s="8" t="n">
        <v>16</v>
      </c>
      <c r="X6" s="8">
        <f>V6-W6</f>
        <v/>
      </c>
    </row>
    <row r="7">
      <c r="A7" s="10" t="inlineStr">
        <is>
          <t>JKL</t>
        </is>
      </c>
      <c r="B7" s="9" t="n">
        <v>75693</v>
      </c>
      <c r="C7" s="9" t="n">
        <v>1844988</v>
      </c>
      <c r="D7" s="9" t="n">
        <v>1189838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88203</v>
      </c>
      <c r="L7" s="16">
        <f>T7/U7</f>
        <v/>
      </c>
      <c r="M7" s="9">
        <f>H7/P7</f>
        <v/>
      </c>
      <c r="N7" s="8" t="n">
        <v>8.16</v>
      </c>
      <c r="O7" s="8" t="n">
        <v>7.65</v>
      </c>
      <c r="P7" s="8" t="n">
        <v>8</v>
      </c>
      <c r="Q7" s="8" t="n">
        <v>8.5</v>
      </c>
      <c r="R7" s="11" t="n">
        <v>0.603</v>
      </c>
      <c r="S7" s="11" t="n">
        <v>0.6466</v>
      </c>
      <c r="T7" s="9">
        <f>O7*D7</f>
        <v/>
      </c>
      <c r="U7" s="9">
        <f>N7*F7</f>
        <v/>
      </c>
      <c r="V7" s="8" t="n">
        <v>25</v>
      </c>
      <c r="W7" s="8" t="n">
        <v>16</v>
      </c>
      <c r="X7" s="8">
        <f>V7-W7</f>
        <v/>
      </c>
    </row>
    <row r="8">
      <c r="A8" s="10" t="inlineStr">
        <is>
          <t>MFL</t>
        </is>
      </c>
      <c r="B8" s="9" t="n">
        <v>77824</v>
      </c>
      <c r="C8" s="9" t="n">
        <v>2255336</v>
      </c>
      <c r="D8" s="9" t="n">
        <v>1181929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87657</v>
      </c>
      <c r="L8" s="16">
        <f>T8/U8</f>
        <v/>
      </c>
      <c r="M8" s="9">
        <f>H8/P8</f>
        <v/>
      </c>
      <c r="N8" s="8" t="n">
        <v>7.31</v>
      </c>
      <c r="O8" s="8" t="n">
        <v>6.75</v>
      </c>
      <c r="P8" s="8" t="n">
        <v>10</v>
      </c>
      <c r="Q8" s="8" t="n">
        <v>8.83</v>
      </c>
      <c r="R8" s="11" t="n">
        <v>0.65</v>
      </c>
      <c r="S8" s="11" t="n">
        <v>0.6446999999999999</v>
      </c>
      <c r="T8" s="9">
        <f>O8*D8</f>
        <v/>
      </c>
      <c r="U8" s="9">
        <f>N8*F8</f>
        <v/>
      </c>
      <c r="V8" s="8" t="n">
        <v>25</v>
      </c>
      <c r="W8" s="8" t="n">
        <v>16</v>
      </c>
      <c r="X8" s="8">
        <f>V8-W8</f>
        <v/>
      </c>
    </row>
    <row r="9">
      <c r="A9" s="10" t="inlineStr">
        <is>
          <t>FFL2</t>
        </is>
      </c>
      <c r="B9" s="9" t="n">
        <v>58779</v>
      </c>
      <c r="C9" s="9" t="n">
        <v>1365460</v>
      </c>
      <c r="D9" s="9" t="n">
        <v>997801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71683</v>
      </c>
      <c r="L9" s="16">
        <f>T9/U9</f>
        <v/>
      </c>
      <c r="M9" s="9">
        <f>H9/P9</f>
        <v/>
      </c>
      <c r="N9" s="8" t="n">
        <v>7.52</v>
      </c>
      <c r="O9" s="8" t="n">
        <v>7.46</v>
      </c>
      <c r="P9" s="8" t="n">
        <v>8</v>
      </c>
      <c r="Q9" s="8" t="n">
        <v>8.44</v>
      </c>
      <c r="R9" s="11" t="n">
        <v>0.68</v>
      </c>
      <c r="S9" s="11" t="n">
        <v>0.6422</v>
      </c>
      <c r="T9" s="9">
        <f>O9*D9</f>
        <v/>
      </c>
      <c r="U9" s="9">
        <f>N9*F9</f>
        <v/>
      </c>
      <c r="V9" s="8" t="n">
        <v>25</v>
      </c>
      <c r="W9" s="8" t="n">
        <v>16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91380</v>
      </c>
      <c r="C10" s="9" t="n">
        <v>2667920</v>
      </c>
      <c r="D10" s="9" t="n">
        <v>1410592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102064</v>
      </c>
      <c r="L10" s="16">
        <f>T10/U10</f>
        <v/>
      </c>
      <c r="M10" s="9">
        <f>H10/P10</f>
        <v/>
      </c>
      <c r="N10" s="8" t="n">
        <v>9.41</v>
      </c>
      <c r="O10" s="8" t="n">
        <v>9.02</v>
      </c>
      <c r="P10" s="8" t="n">
        <v>8</v>
      </c>
      <c r="Q10" s="8" t="n">
        <v>8.44</v>
      </c>
      <c r="R10" s="11" t="n">
        <v>0.653</v>
      </c>
      <c r="S10" s="11" t="n">
        <v>0.6394</v>
      </c>
      <c r="T10" s="9">
        <f>O10*D10</f>
        <v/>
      </c>
      <c r="U10" s="9">
        <f>N10*F10</f>
        <v/>
      </c>
      <c r="V10" s="8" t="n">
        <v>25</v>
      </c>
      <c r="W10" s="8" t="n">
        <v>16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420450</v>
      </c>
      <c r="C11" s="7">
        <f>SUM(C4:C10)</f>
        <v/>
      </c>
      <c r="D11" s="7" t="n">
        <v>6592976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468511.34</v>
      </c>
      <c r="L11" s="12">
        <f>T11/U11</f>
        <v/>
      </c>
      <c r="M11" s="7">
        <f>H11/P11</f>
        <v/>
      </c>
      <c r="N11" s="6" t="n">
        <v>8.07</v>
      </c>
      <c r="O11" s="6" t="n">
        <v>7.8</v>
      </c>
      <c r="P11" s="6" t="n">
        <v>8.77</v>
      </c>
      <c r="Q11" s="6" t="n">
        <v>8.720000000000001</v>
      </c>
      <c r="R11" s="12" t="n">
        <v>0.6589</v>
      </c>
      <c r="S11" s="12" t="n">
        <v>0.6565000000000001</v>
      </c>
      <c r="T11" s="7">
        <f>O11*D11</f>
        <v/>
      </c>
      <c r="U11" s="7">
        <f>N11*F11</f>
        <v/>
      </c>
      <c r="V11" s="6" t="n">
        <v>25</v>
      </c>
      <c r="W11" s="6" t="n">
        <v>16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129690</v>
      </c>
      <c r="C12" s="2" t="n">
        <v>3049596</v>
      </c>
      <c r="D12" s="9" t="n">
        <v>2037453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141266</v>
      </c>
      <c r="L12" s="16">
        <f>T12/U12</f>
        <v/>
      </c>
      <c r="M12" s="9">
        <f>H12/P12</f>
        <v/>
      </c>
      <c r="N12" s="8" t="n">
        <v>4.13</v>
      </c>
      <c r="O12" s="8" t="n">
        <v>3.83</v>
      </c>
      <c r="P12" s="8" t="n">
        <v>10</v>
      </c>
      <c r="Q12" s="8" t="n">
        <v>10.77</v>
      </c>
      <c r="R12" s="11" t="n">
        <v>0.73</v>
      </c>
      <c r="S12" s="11" t="n">
        <v>0.6872</v>
      </c>
      <c r="T12" s="9">
        <f>O12*D12</f>
        <v/>
      </c>
      <c r="U12" s="9">
        <f>N12*F12</f>
        <v/>
      </c>
      <c r="V12" s="8" t="n">
        <v>25</v>
      </c>
      <c r="W12" s="8" t="n">
        <v>16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2337</v>
      </c>
      <c r="C13" s="9" t="n">
        <v>241401</v>
      </c>
      <c r="D13" s="9" t="n">
        <v>185030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5445</v>
      </c>
      <c r="L13" s="16">
        <f>T13/U13</f>
        <v/>
      </c>
      <c r="M13" s="9">
        <f>H13/P13</f>
        <v/>
      </c>
      <c r="N13" s="20" t="n">
        <v>6.94</v>
      </c>
      <c r="O13" s="18" t="n">
        <v>7.42</v>
      </c>
      <c r="P13" s="18" t="n">
        <v>8</v>
      </c>
      <c r="Q13" s="18" t="n">
        <v>8.68</v>
      </c>
      <c r="R13" s="19" t="n">
        <v>0.65</v>
      </c>
      <c r="S13" s="11" t="n">
        <v>0.183</v>
      </c>
      <c r="T13" s="9">
        <f>O13*D13</f>
        <v/>
      </c>
      <c r="U13" s="9">
        <f>N13*F13</f>
        <v/>
      </c>
      <c r="V13" s="8" t="n">
        <v>25</v>
      </c>
      <c r="W13" s="8" t="n">
        <v>16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2025-08-21T05:26:28Z</dcterms:modified>
  <cp:lastModifiedBy>Md. Mahfuzur Rahman</cp:lastModifiedBy>
</cp:coreProperties>
</file>