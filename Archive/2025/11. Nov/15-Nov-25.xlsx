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1. Nov\"/>
    </mc:Choice>
  </mc:AlternateContent>
  <xr:revisionPtr revIDLastSave="0" documentId="13_ncr:1_{D8382015-1BAB-458B-B140-1A970EB6A77D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T13" i="1"/>
  <c r="J13" i="1"/>
  <c r="G13" i="1"/>
  <c r="F13" i="1"/>
  <c r="U13" i="1" s="1"/>
  <c r="L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C18" i="1" s="1"/>
  <c r="X11" i="1"/>
  <c r="T11" i="1"/>
  <c r="J11" i="1"/>
  <c r="F11" i="1"/>
  <c r="G11" i="1" s="1"/>
  <c r="E11" i="1"/>
  <c r="H11" i="1" s="1"/>
  <c r="X10" i="1"/>
  <c r="T10" i="1"/>
  <c r="J10" i="1"/>
  <c r="H10" i="1"/>
  <c r="I10" i="1" s="1"/>
  <c r="G10" i="1"/>
  <c r="F10" i="1"/>
  <c r="U10" i="1" s="1"/>
  <c r="E10" i="1"/>
  <c r="X9" i="1"/>
  <c r="H9" i="1" s="1"/>
  <c r="T9" i="1"/>
  <c r="J9" i="1"/>
  <c r="G9" i="1"/>
  <c r="F9" i="1"/>
  <c r="U9" i="1" s="1"/>
  <c r="L9" i="1" s="1"/>
  <c r="E9" i="1"/>
  <c r="X8" i="1"/>
  <c r="T8" i="1"/>
  <c r="J8" i="1"/>
  <c r="F8" i="1"/>
  <c r="G8" i="1" s="1"/>
  <c r="E8" i="1"/>
  <c r="H8" i="1" s="1"/>
  <c r="X7" i="1"/>
  <c r="T7" i="1"/>
  <c r="J7" i="1"/>
  <c r="F7" i="1"/>
  <c r="G7" i="1" s="1"/>
  <c r="E7" i="1"/>
  <c r="H7" i="1" s="1"/>
  <c r="X6" i="1"/>
  <c r="T6" i="1"/>
  <c r="J6" i="1"/>
  <c r="H6" i="1"/>
  <c r="I6" i="1" s="1"/>
  <c r="G6" i="1"/>
  <c r="F6" i="1"/>
  <c r="U6" i="1" s="1"/>
  <c r="E6" i="1"/>
  <c r="X5" i="1"/>
  <c r="H5" i="1" s="1"/>
  <c r="T5" i="1"/>
  <c r="J5" i="1"/>
  <c r="G5" i="1"/>
  <c r="F5" i="1"/>
  <c r="U5" i="1" s="1"/>
  <c r="L5" i="1" s="1"/>
  <c r="E5" i="1"/>
  <c r="X4" i="1"/>
  <c r="T4" i="1"/>
  <c r="J4" i="1"/>
  <c r="F4" i="1"/>
  <c r="U4" i="1" s="1"/>
  <c r="L4" i="1" s="1"/>
  <c r="E4" i="1"/>
  <c r="E12" i="1" s="1"/>
  <c r="H12" i="1" s="1"/>
  <c r="I9" i="1" l="1"/>
  <c r="M9" i="1"/>
  <c r="M11" i="1"/>
  <c r="I11" i="1"/>
  <c r="I5" i="1"/>
  <c r="M5" i="1"/>
  <c r="D18" i="1"/>
  <c r="C19" i="1"/>
  <c r="I13" i="1"/>
  <c r="M13" i="1"/>
  <c r="M12" i="1"/>
  <c r="I12" i="1"/>
  <c r="L6" i="1"/>
  <c r="M7" i="1"/>
  <c r="I7" i="1"/>
  <c r="M8" i="1"/>
  <c r="I8" i="1"/>
  <c r="L10" i="1"/>
  <c r="G4" i="1"/>
  <c r="G12" i="1" s="1"/>
  <c r="F12" i="1"/>
  <c r="U12" i="1" s="1"/>
  <c r="L12" i="1" s="1"/>
  <c r="J12" i="1"/>
  <c r="M6" i="1"/>
  <c r="U8" i="1"/>
  <c r="L8" i="1" s="1"/>
  <c r="M10" i="1"/>
  <c r="U11" i="1"/>
  <c r="L11" i="1" s="1"/>
  <c r="A18" i="1"/>
  <c r="E18" i="1"/>
  <c r="U7" i="1"/>
  <c r="L7" i="1" s="1"/>
  <c r="H4" i="1"/>
  <c r="F18" i="1"/>
  <c r="M4" i="1" l="1"/>
  <c r="I4" i="1"/>
  <c r="C20" i="1"/>
  <c r="D19" i="1"/>
  <c r="E19" i="1" s="1"/>
  <c r="F19" i="1" s="1"/>
  <c r="D20" i="1" l="1"/>
  <c r="E20" i="1" s="1"/>
  <c r="F20" i="1" s="1"/>
  <c r="C21" i="1"/>
  <c r="C22" i="1" l="1"/>
  <c r="D21" i="1"/>
  <c r="E21" i="1" s="1"/>
  <c r="F21" i="1" s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<sst xmlns="http://schemas.openxmlformats.org/spreadsheetml/2006/main" count="49" uniqueCount="45">
  <si>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</si>
  <si>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</si>
  <si>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15-Nov-25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</si>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</sst>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activeCell="N12" sqref="N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68502</v>
      </c>
      <c r="C4" s="9">
        <v>2203539</v>
      </c>
      <c r="D4" s="9">
        <v>953146</v>
      </c>
      <c r="E4" s="9">
        <f t="shared" ref="E4:E11" si="0">C4-D4</f>
        <v>1250393</v>
      </c>
      <c r="F4" s="9">
        <f t="shared" ref="F4:F11" si="1">C4*W4/V4</f>
        <v>1101769.5</v>
      </c>
      <c r="G4" s="9">
        <f t="shared" ref="G4:G11" si="2">F4-D4</f>
        <v>148623.5</v>
      </c>
      <c r="H4" s="9">
        <f t="shared" ref="H4:H13" si="3">(E4+B4)/(X4+1)</f>
        <v>94206.78571428571</v>
      </c>
      <c r="I4" s="9">
        <f t="shared" ref="I4:I13" si="4">H4*N4</f>
        <v>715971.57142857136</v>
      </c>
      <c r="J4" s="9">
        <f t="shared" ref="J4:J13" si="5">B4*O4</f>
        <v>564456.48</v>
      </c>
      <c r="K4" s="9">
        <v>70584</v>
      </c>
      <c r="L4" s="16">
        <f t="shared" ref="L4:L13" si="6">T4/U4</f>
        <v>0.93795564890459349</v>
      </c>
      <c r="M4" s="9">
        <f t="shared" ref="M4:M13" si="7">H4/P4</f>
        <v>9420.6785714285706</v>
      </c>
      <c r="N4" s="8">
        <v>7.6</v>
      </c>
      <c r="O4" s="8">
        <v>8.24</v>
      </c>
      <c r="P4" s="8">
        <v>10</v>
      </c>
      <c r="Q4" s="8">
        <v>10.199999999999999</v>
      </c>
      <c r="R4" s="11">
        <v>0.72</v>
      </c>
      <c r="S4" s="11">
        <v>0.70540000000000003</v>
      </c>
      <c r="T4" s="9">
        <f t="shared" ref="T4:T13" si="8">O4*D4</f>
        <v>7853923.04</v>
      </c>
      <c r="U4" s="9">
        <f t="shared" ref="U4:U13" si="9">N4*F4</f>
        <v>8373448.1999999993</v>
      </c>
      <c r="V4" s="8">
        <v>26</v>
      </c>
      <c r="W4" s="8">
        <v>13</v>
      </c>
      <c r="X4" s="8">
        <f t="shared" ref="X4:X13" si="10">V4-W4</f>
        <v>13</v>
      </c>
    </row>
    <row r="5" spans="1:24" x14ac:dyDescent="0.25">
      <c r="A5" s="10" t="s">
        <v>28</v>
      </c>
      <c r="B5" s="9">
        <v>8135</v>
      </c>
      <c r="C5" s="9">
        <v>313636</v>
      </c>
      <c r="D5" s="9">
        <v>154105</v>
      </c>
      <c r="E5" s="9">
        <f t="shared" si="0"/>
        <v>159531</v>
      </c>
      <c r="F5" s="9">
        <f t="shared" si="1"/>
        <v>156818</v>
      </c>
      <c r="G5" s="9">
        <f t="shared" si="2"/>
        <v>2713</v>
      </c>
      <c r="H5" s="9">
        <f t="shared" si="3"/>
        <v>11976.142857142857</v>
      </c>
      <c r="I5" s="9">
        <f t="shared" si="4"/>
        <v>77485.644285714283</v>
      </c>
      <c r="J5" s="9">
        <f t="shared" si="5"/>
        <v>50274.299999999996</v>
      </c>
      <c r="K5" s="9">
        <v>8500</v>
      </c>
      <c r="L5" s="16">
        <f t="shared" si="6"/>
        <v>0.93865287244747608</v>
      </c>
      <c r="M5" s="17">
        <f t="shared" si="7"/>
        <v>1197.6142857142856</v>
      </c>
      <c r="N5" s="8">
        <v>6.47</v>
      </c>
      <c r="O5" s="8">
        <v>6.18</v>
      </c>
      <c r="P5" s="8">
        <v>10</v>
      </c>
      <c r="Q5" s="8">
        <v>10.11</v>
      </c>
      <c r="R5" s="11">
        <v>0.72</v>
      </c>
      <c r="S5" s="11">
        <v>0.73439999999999994</v>
      </c>
      <c r="T5" s="9">
        <f t="shared" si="8"/>
        <v>952368.89999999991</v>
      </c>
      <c r="U5" s="9">
        <f t="shared" si="9"/>
        <v>1014612.46</v>
      </c>
      <c r="V5" s="8">
        <v>26</v>
      </c>
      <c r="W5" s="8">
        <v>13</v>
      </c>
      <c r="X5" s="8">
        <f t="shared" si="10"/>
        <v>13</v>
      </c>
    </row>
    <row r="6" spans="1:24" x14ac:dyDescent="0.25">
      <c r="A6" s="10" t="s">
        <v>29</v>
      </c>
      <c r="B6" s="9">
        <v>37072</v>
      </c>
      <c r="C6" s="9">
        <v>1498277</v>
      </c>
      <c r="D6" s="9">
        <v>523356</v>
      </c>
      <c r="E6" s="9">
        <f t="shared" si="0"/>
        <v>974921</v>
      </c>
      <c r="F6" s="9">
        <f t="shared" si="1"/>
        <v>749138.5</v>
      </c>
      <c r="G6" s="9">
        <f t="shared" si="2"/>
        <v>225782.5</v>
      </c>
      <c r="H6" s="9">
        <f t="shared" si="3"/>
        <v>72285.21428571429</v>
      </c>
      <c r="I6" s="9">
        <f t="shared" si="4"/>
        <v>469131.04071428574</v>
      </c>
      <c r="J6" s="9">
        <f t="shared" si="5"/>
        <v>219836.96</v>
      </c>
      <c r="K6" s="9">
        <v>35459</v>
      </c>
      <c r="L6" s="16">
        <f t="shared" si="6"/>
        <v>0.63832975199135078</v>
      </c>
      <c r="M6" s="9">
        <f t="shared" si="7"/>
        <v>7228.5214285714292</v>
      </c>
      <c r="N6" s="8">
        <v>6.49</v>
      </c>
      <c r="O6" s="8">
        <v>5.93</v>
      </c>
      <c r="P6" s="8">
        <v>10</v>
      </c>
      <c r="Q6" s="8">
        <v>8.68</v>
      </c>
      <c r="R6" s="11">
        <v>0.73</v>
      </c>
      <c r="S6" s="11">
        <v>0.69110000000000005</v>
      </c>
      <c r="T6" s="9">
        <f t="shared" si="8"/>
        <v>3103501.08</v>
      </c>
      <c r="U6" s="9">
        <f t="shared" si="9"/>
        <v>4861908.8650000002</v>
      </c>
      <c r="V6" s="8">
        <v>26</v>
      </c>
      <c r="W6" s="8">
        <v>13</v>
      </c>
      <c r="X6" s="8">
        <f t="shared" si="10"/>
        <v>13</v>
      </c>
    </row>
    <row r="7" spans="1:24" x14ac:dyDescent="0.25">
      <c r="A7" s="10" t="s">
        <v>30</v>
      </c>
      <c r="B7" s="9">
        <v>47734</v>
      </c>
      <c r="C7" s="9">
        <v>2014480</v>
      </c>
      <c r="D7" s="9">
        <v>686229</v>
      </c>
      <c r="E7" s="9">
        <f t="shared" si="0"/>
        <v>1328251</v>
      </c>
      <c r="F7" s="9">
        <f t="shared" si="1"/>
        <v>1007240</v>
      </c>
      <c r="G7" s="9">
        <f t="shared" si="2"/>
        <v>321011</v>
      </c>
      <c r="H7" s="9">
        <f t="shared" si="3"/>
        <v>98284.642857142855</v>
      </c>
      <c r="I7" s="9">
        <f t="shared" si="4"/>
        <v>911098.63928571425</v>
      </c>
      <c r="J7" s="9">
        <f t="shared" si="5"/>
        <v>451563.64</v>
      </c>
      <c r="K7" s="9">
        <v>54486</v>
      </c>
      <c r="L7" s="16">
        <f t="shared" si="6"/>
        <v>0.69526041813259076</v>
      </c>
      <c r="M7" s="9">
        <f t="shared" si="7"/>
        <v>9828.4642857142862</v>
      </c>
      <c r="N7" s="8">
        <v>9.27</v>
      </c>
      <c r="O7" s="8">
        <v>9.4600000000000009</v>
      </c>
      <c r="P7" s="8">
        <v>10</v>
      </c>
      <c r="Q7" s="8">
        <v>8.4600000000000009</v>
      </c>
      <c r="R7" s="11">
        <v>0.65</v>
      </c>
      <c r="S7" s="11">
        <v>0.56590000000000007</v>
      </c>
      <c r="T7" s="9">
        <f t="shared" si="8"/>
        <v>6491726.3400000008</v>
      </c>
      <c r="U7" s="9">
        <f t="shared" si="9"/>
        <v>9337114.7999999989</v>
      </c>
      <c r="V7" s="8">
        <v>26</v>
      </c>
      <c r="W7" s="8">
        <v>13</v>
      </c>
      <c r="X7" s="8">
        <f t="shared" si="10"/>
        <v>13</v>
      </c>
    </row>
    <row r="8" spans="1:24" x14ac:dyDescent="0.25">
      <c r="A8" s="10" t="s">
        <v>31</v>
      </c>
      <c r="B8" s="9">
        <v>72725</v>
      </c>
      <c r="C8" s="9">
        <v>2332178</v>
      </c>
      <c r="D8" s="9">
        <v>901996</v>
      </c>
      <c r="E8" s="9">
        <f t="shared" si="0"/>
        <v>1430182</v>
      </c>
      <c r="F8" s="9">
        <f t="shared" si="1"/>
        <v>1166089</v>
      </c>
      <c r="G8" s="9">
        <f t="shared" si="2"/>
        <v>264093</v>
      </c>
      <c r="H8" s="9">
        <f t="shared" si="3"/>
        <v>107350.5</v>
      </c>
      <c r="I8" s="9">
        <f t="shared" si="4"/>
        <v>839480.91</v>
      </c>
      <c r="J8" s="9">
        <f t="shared" si="5"/>
        <v>560709.75</v>
      </c>
      <c r="K8" s="9">
        <v>77438</v>
      </c>
      <c r="L8" s="16">
        <f t="shared" si="6"/>
        <v>0.76264168234701013</v>
      </c>
      <c r="M8" s="9">
        <f t="shared" si="7"/>
        <v>10735.05</v>
      </c>
      <c r="N8" s="8">
        <v>7.82</v>
      </c>
      <c r="O8" s="8">
        <v>7.71</v>
      </c>
      <c r="P8" s="8">
        <v>10</v>
      </c>
      <c r="Q8" s="8">
        <v>9.18</v>
      </c>
      <c r="R8" s="11">
        <v>0.72</v>
      </c>
      <c r="S8" s="11">
        <v>0.66689999999999994</v>
      </c>
      <c r="T8" s="9">
        <f t="shared" si="8"/>
        <v>6954389.1600000001</v>
      </c>
      <c r="U8" s="9">
        <f t="shared" si="9"/>
        <v>9118815.9800000004</v>
      </c>
      <c r="V8" s="8">
        <v>26</v>
      </c>
      <c r="W8" s="8">
        <v>13</v>
      </c>
      <c r="X8" s="8">
        <f t="shared" si="10"/>
        <v>13</v>
      </c>
    </row>
    <row r="9" spans="1:24" x14ac:dyDescent="0.25">
      <c r="A9" s="10" t="s">
        <v>32</v>
      </c>
      <c r="B9" s="9">
        <v>99546</v>
      </c>
      <c r="C9" s="9">
        <v>2597126</v>
      </c>
      <c r="D9" s="9">
        <v>1166645</v>
      </c>
      <c r="E9" s="9">
        <f t="shared" si="0"/>
        <v>1430481</v>
      </c>
      <c r="F9" s="9">
        <f t="shared" si="1"/>
        <v>1298563</v>
      </c>
      <c r="G9" s="9">
        <f t="shared" si="2"/>
        <v>131918</v>
      </c>
      <c r="H9" s="9">
        <f t="shared" si="3"/>
        <v>109287.64285714286</v>
      </c>
      <c r="I9" s="9">
        <f t="shared" si="4"/>
        <v>802171.29857142852</v>
      </c>
      <c r="J9" s="9">
        <f t="shared" si="5"/>
        <v>764513.28000000003</v>
      </c>
      <c r="K9" s="9">
        <v>110689</v>
      </c>
      <c r="L9" s="16">
        <f t="shared" si="6"/>
        <v>0.94002815155426223</v>
      </c>
      <c r="M9" s="9">
        <f t="shared" si="7"/>
        <v>10928.764285714286</v>
      </c>
      <c r="N9" s="8">
        <v>7.34</v>
      </c>
      <c r="O9" s="8">
        <v>7.68</v>
      </c>
      <c r="P9" s="8">
        <v>10</v>
      </c>
      <c r="Q9" s="8">
        <v>12.3</v>
      </c>
      <c r="R9" s="11">
        <v>0.73</v>
      </c>
      <c r="S9" s="11">
        <v>0.67230000000000001</v>
      </c>
      <c r="T9" s="9">
        <f t="shared" si="8"/>
        <v>8959833.5999999996</v>
      </c>
      <c r="U9" s="9">
        <f t="shared" si="9"/>
        <v>9531452.4199999999</v>
      </c>
      <c r="V9" s="8">
        <v>26</v>
      </c>
      <c r="W9" s="8">
        <v>13</v>
      </c>
      <c r="X9" s="8">
        <f t="shared" si="10"/>
        <v>13</v>
      </c>
    </row>
    <row r="10" spans="1:24" ht="14.25" customHeight="1" x14ac:dyDescent="0.25">
      <c r="A10" s="10" t="s">
        <v>33</v>
      </c>
      <c r="B10" s="9">
        <v>100170</v>
      </c>
      <c r="C10" s="9">
        <v>3823698</v>
      </c>
      <c r="D10" s="9">
        <v>1296341</v>
      </c>
      <c r="E10" s="9">
        <f t="shared" si="0"/>
        <v>2527357</v>
      </c>
      <c r="F10" s="9">
        <f t="shared" si="1"/>
        <v>1911849</v>
      </c>
      <c r="G10" s="9">
        <f t="shared" si="2"/>
        <v>615508</v>
      </c>
      <c r="H10" s="9">
        <f t="shared" si="3"/>
        <v>187680.5</v>
      </c>
      <c r="I10" s="9">
        <f t="shared" si="4"/>
        <v>1527719.27</v>
      </c>
      <c r="J10" s="9">
        <f t="shared" si="5"/>
        <v>902531.7</v>
      </c>
      <c r="K10" s="9">
        <v>106571</v>
      </c>
      <c r="L10" s="16">
        <f t="shared" si="6"/>
        <v>0.75052654077906589</v>
      </c>
      <c r="M10" s="9">
        <f t="shared" si="7"/>
        <v>18768.05</v>
      </c>
      <c r="N10" s="8">
        <v>8.14</v>
      </c>
      <c r="O10" s="8">
        <v>9.01</v>
      </c>
      <c r="P10" s="8">
        <v>10</v>
      </c>
      <c r="Q10" s="8">
        <v>9.39</v>
      </c>
      <c r="R10" s="11">
        <v>0.72</v>
      </c>
      <c r="S10" s="11">
        <v>0.66569999999999996</v>
      </c>
      <c r="T10" s="9">
        <f t="shared" si="8"/>
        <v>11680032.41</v>
      </c>
      <c r="U10" s="9">
        <f t="shared" si="9"/>
        <v>15562450.860000001</v>
      </c>
      <c r="V10" s="8">
        <v>26</v>
      </c>
      <c r="W10" s="8">
        <v>13</v>
      </c>
      <c r="X10" s="8">
        <f t="shared" si="10"/>
        <v>13</v>
      </c>
    </row>
    <row r="11" spans="1:24" ht="14.25" customHeight="1" thickBot="1" x14ac:dyDescent="0.3">
      <c r="A11" s="21" t="s">
        <v>34</v>
      </c>
      <c r="B11" s="22">
        <v>4313</v>
      </c>
      <c r="C11" s="22">
        <v>48509</v>
      </c>
      <c r="D11" s="22">
        <v>53995</v>
      </c>
      <c r="E11" s="9">
        <f t="shared" si="0"/>
        <v>-5486</v>
      </c>
      <c r="F11" s="9">
        <f t="shared" si="1"/>
        <v>24254.5</v>
      </c>
      <c r="G11" s="9">
        <f t="shared" si="2"/>
        <v>-29740.5</v>
      </c>
      <c r="H11" s="9">
        <f t="shared" si="3"/>
        <v>-83.785714285714292</v>
      </c>
      <c r="I11" s="9">
        <f t="shared" si="4"/>
        <v>-642.63642857142861</v>
      </c>
      <c r="J11" s="9">
        <f t="shared" si="5"/>
        <v>26438.69</v>
      </c>
      <c r="K11" s="9">
        <v>0</v>
      </c>
      <c r="L11" s="16">
        <f t="shared" si="6"/>
        <v>1.7792063908999749</v>
      </c>
      <c r="M11" s="9">
        <f t="shared" si="7"/>
        <v>-8.3785714285714299</v>
      </c>
      <c r="N11" s="18">
        <v>7.67</v>
      </c>
      <c r="O11" s="18">
        <v>6.13</v>
      </c>
      <c r="P11" s="18">
        <v>10</v>
      </c>
      <c r="Q11" s="18">
        <v>7.96</v>
      </c>
      <c r="R11" s="19">
        <v>0.63</v>
      </c>
      <c r="S11" s="19">
        <v>6.5500000000000003E-2</v>
      </c>
      <c r="T11" s="9">
        <f t="shared" si="8"/>
        <v>330989.34999999998</v>
      </c>
      <c r="U11" s="9">
        <f t="shared" si="9"/>
        <v>186032.01499999998</v>
      </c>
      <c r="V11" s="18">
        <v>26</v>
      </c>
      <c r="W11" s="18">
        <v>13</v>
      </c>
      <c r="X11" s="8">
        <f t="shared" si="10"/>
        <v>13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438197</v>
      </c>
      <c r="C12" s="7">
        <f t="shared" si="11"/>
        <v>14831443</v>
      </c>
      <c r="D12" s="7">
        <f t="shared" si="11"/>
        <v>5735813</v>
      </c>
      <c r="E12" s="7">
        <f t="shared" si="11"/>
        <v>9095630</v>
      </c>
      <c r="F12" s="7">
        <f t="shared" si="11"/>
        <v>7415721.5</v>
      </c>
      <c r="G12" s="7">
        <f t="shared" si="11"/>
        <v>1679908.5</v>
      </c>
      <c r="H12" s="7">
        <f t="shared" si="3"/>
        <v>680987.64285714284</v>
      </c>
      <c r="I12" s="7">
        <f t="shared" si="4"/>
        <v>5325323.3671428571</v>
      </c>
      <c r="J12" s="7">
        <f t="shared" si="5"/>
        <v>3305100.8725000001</v>
      </c>
      <c r="K12" s="7">
        <f>SUM(K4:K11)</f>
        <v>463727</v>
      </c>
      <c r="L12" s="12">
        <f t="shared" si="6"/>
        <v>0.7460194293018636</v>
      </c>
      <c r="M12" s="7">
        <f t="shared" si="7"/>
        <v>68098.764285714278</v>
      </c>
      <c r="N12" s="6">
        <v>7.82</v>
      </c>
      <c r="O12" s="6">
        <f>AVERAGE(O4:O11)</f>
        <v>7.5425000000000004</v>
      </c>
      <c r="P12" s="6">
        <v>10</v>
      </c>
      <c r="Q12" s="6">
        <f>AVERAGE(Q4:Q11)</f>
        <v>9.5350000000000001</v>
      </c>
      <c r="R12" s="12">
        <v>0.71509999999999996</v>
      </c>
      <c r="S12" s="12">
        <f>AVERAGE(S4:S11)</f>
        <v>0.5959000000000001</v>
      </c>
      <c r="T12" s="7">
        <f t="shared" si="8"/>
        <v>43262369.552500002</v>
      </c>
      <c r="U12" s="7">
        <f t="shared" si="9"/>
        <v>57990942.130000003</v>
      </c>
      <c r="V12" s="6">
        <v>26</v>
      </c>
      <c r="W12" s="6">
        <f>W11</f>
        <v>13</v>
      </c>
      <c r="X12" s="6">
        <f t="shared" si="10"/>
        <v>13</v>
      </c>
    </row>
    <row r="13" spans="1:24" ht="15.75" customHeight="1" thickTop="1" x14ac:dyDescent="0.25">
      <c r="A13" s="10" t="s">
        <v>36</v>
      </c>
      <c r="B13" s="9">
        <v>139280</v>
      </c>
      <c r="C13" s="9">
        <v>3461205</v>
      </c>
      <c r="D13" s="9">
        <v>1755059</v>
      </c>
      <c r="E13" s="9">
        <f>C13-D13</f>
        <v>1706146</v>
      </c>
      <c r="F13" s="9">
        <f>C13*W13/V13</f>
        <v>1730602.5</v>
      </c>
      <c r="G13" s="9">
        <f>F13-D13</f>
        <v>-24456.5</v>
      </c>
      <c r="H13" s="9">
        <f t="shared" si="3"/>
        <v>131816.14285714287</v>
      </c>
      <c r="I13" s="9">
        <f t="shared" si="4"/>
        <v>556264.12285714282</v>
      </c>
      <c r="J13" s="9">
        <f t="shared" si="5"/>
        <v>530656.80000000005</v>
      </c>
      <c r="K13" s="9">
        <v>132729</v>
      </c>
      <c r="L13" s="16">
        <f t="shared" si="6"/>
        <v>0.91560239228796103</v>
      </c>
      <c r="M13" s="9">
        <f t="shared" si="7"/>
        <v>13181.614285714288</v>
      </c>
      <c r="N13" s="8">
        <v>4.22</v>
      </c>
      <c r="O13" s="8">
        <v>3.81</v>
      </c>
      <c r="P13" s="8">
        <v>10</v>
      </c>
      <c r="Q13" s="8">
        <v>10.199999999999999</v>
      </c>
      <c r="R13" s="11">
        <v>0.8</v>
      </c>
      <c r="S13" s="11">
        <v>0.76359999999999995</v>
      </c>
      <c r="T13" s="9">
        <f t="shared" si="8"/>
        <v>6686774.79</v>
      </c>
      <c r="U13" s="9">
        <f t="shared" si="9"/>
        <v>7303142.5499999998</v>
      </c>
      <c r="V13" s="8">
        <v>26</v>
      </c>
      <c r="W13" s="8">
        <v>13</v>
      </c>
      <c r="X13" s="8">
        <f t="shared" si="10"/>
        <v>13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14831443</v>
      </c>
      <c r="B18" s="13">
        <f>D12</f>
        <v>5735813</v>
      </c>
      <c r="C18" s="13">
        <f>QUOTIENT(B12,10000)*10000</f>
        <v>430000</v>
      </c>
      <c r="D18" s="13">
        <f t="shared" ref="D18:D23" si="12">C18*$X$12</f>
        <v>5590000</v>
      </c>
      <c r="E18" s="13">
        <f t="shared" ref="E18:E23" si="13">$D$12+D18</f>
        <v>11325813</v>
      </c>
      <c r="F18" s="13">
        <f t="shared" ref="F18:F23" si="14">$C$12-E18</f>
        <v>3505630</v>
      </c>
      <c r="M18" s="1"/>
    </row>
    <row r="19" spans="1:13" x14ac:dyDescent="0.25">
      <c r="A19" s="15" t="s">
        <v>44</v>
      </c>
      <c r="B19" s="14"/>
      <c r="C19" s="13">
        <f>C18+35000</f>
        <v>465000</v>
      </c>
      <c r="D19" s="13">
        <f t="shared" si="12"/>
        <v>6045000</v>
      </c>
      <c r="E19" s="13">
        <f t="shared" si="13"/>
        <v>11780813</v>
      </c>
      <c r="F19" s="13">
        <f t="shared" si="14"/>
        <v>3050630</v>
      </c>
      <c r="M19" s="1"/>
    </row>
    <row r="20" spans="1:13" x14ac:dyDescent="0.25">
      <c r="A20" s="15" t="s">
        <v>44</v>
      </c>
      <c r="B20" s="14"/>
      <c r="C20" s="13">
        <f>C19+35000</f>
        <v>500000</v>
      </c>
      <c r="D20" s="13">
        <f t="shared" si="12"/>
        <v>6500000</v>
      </c>
      <c r="E20" s="13">
        <f t="shared" si="13"/>
        <v>12235813</v>
      </c>
      <c r="F20" s="13">
        <f t="shared" si="14"/>
        <v>2595630</v>
      </c>
    </row>
    <row r="21" spans="1:13" x14ac:dyDescent="0.25">
      <c r="A21" s="15" t="s">
        <v>44</v>
      </c>
      <c r="B21" s="14"/>
      <c r="C21" s="13">
        <f>C20+35000</f>
        <v>535000</v>
      </c>
      <c r="D21" s="13">
        <f t="shared" si="12"/>
        <v>6955000</v>
      </c>
      <c r="E21" s="13">
        <f t="shared" si="13"/>
        <v>12690813</v>
      </c>
      <c r="F21" s="13">
        <f t="shared" si="14"/>
        <v>2140630</v>
      </c>
    </row>
    <row r="22" spans="1:13" x14ac:dyDescent="0.25">
      <c r="A22" s="15" t="s">
        <v>44</v>
      </c>
      <c r="B22" s="14"/>
      <c r="C22" s="13">
        <f>C21+35000</f>
        <v>570000</v>
      </c>
      <c r="D22" s="13">
        <f t="shared" si="12"/>
        <v>7410000</v>
      </c>
      <c r="E22" s="13">
        <f t="shared" si="13"/>
        <v>13145813</v>
      </c>
      <c r="F22" s="13">
        <f t="shared" si="14"/>
        <v>1685630</v>
      </c>
    </row>
    <row r="23" spans="1:13" x14ac:dyDescent="0.25">
      <c r="A23" s="15" t="s">
        <v>44</v>
      </c>
      <c r="B23" s="14"/>
      <c r="C23" s="13">
        <f>C22+35000</f>
        <v>605000</v>
      </c>
      <c r="D23" s="13">
        <f t="shared" si="12"/>
        <v>7865000</v>
      </c>
      <c r="E23" s="13">
        <f t="shared" si="13"/>
        <v>13600813</v>
      </c>
      <c r="F23" s="13">
        <f t="shared" si="14"/>
        <v>1230630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2025-11-16T06:33:31Z</dcterms:modified>
</cp:coreProperties>
</file>