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2. Dec\"/>
    </mc:Choice>
  </mc:AlternateContent>
  <xr:revisionPtr revIDLastSave="0" documentId="13_ncr:1_{82827021-E741-4D84-8135-74833DB7EF69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X13" i="1"/>
  <c r="T13" i="1"/>
  <c r="J13" i="1"/>
  <c r="F13" i="1"/>
  <c r="U13" i="1" s="1"/>
  <c r="L13" i="1" s="1"/>
  <c r="E13" i="1"/>
  <c r="H13" i="1" s="1"/>
  <c r="X12" i="1"/>
  <c r="S12" i="1"/>
  <c r="Q12" i="1"/>
  <c r="O12" i="1"/>
  <c r="T12" i="1" s="1"/>
  <c r="K12" i="1"/>
  <c r="D12" i="1"/>
  <c r="B18" i="1" s="1"/>
  <c r="C12" i="1"/>
  <c r="B12" i="1"/>
  <c r="J12" i="1" s="1"/>
  <c r="X11" i="1"/>
  <c r="H11" i="1" s="1"/>
  <c r="I11" i="1" s="1"/>
  <c r="T11" i="1"/>
  <c r="J11" i="1"/>
  <c r="F11" i="1"/>
  <c r="G11" i="1" s="1"/>
  <c r="E11" i="1"/>
  <c r="X10" i="1"/>
  <c r="H10" i="1" s="1"/>
  <c r="T10" i="1"/>
  <c r="J10" i="1"/>
  <c r="F10" i="1"/>
  <c r="U10" i="1" s="1"/>
  <c r="L10" i="1" s="1"/>
  <c r="E10" i="1"/>
  <c r="X9" i="1"/>
  <c r="T9" i="1"/>
  <c r="J9" i="1"/>
  <c r="F9" i="1"/>
  <c r="G9" i="1" s="1"/>
  <c r="E9" i="1"/>
  <c r="H9" i="1" s="1"/>
  <c r="X8" i="1"/>
  <c r="T8" i="1"/>
  <c r="J8" i="1"/>
  <c r="F8" i="1"/>
  <c r="U8" i="1" s="1"/>
  <c r="E8" i="1"/>
  <c r="H8" i="1" s="1"/>
  <c r="X7" i="1"/>
  <c r="H7" i="1" s="1"/>
  <c r="I7" i="1" s="1"/>
  <c r="T7" i="1"/>
  <c r="J7" i="1"/>
  <c r="F7" i="1"/>
  <c r="G7" i="1" s="1"/>
  <c r="E7" i="1"/>
  <c r="X6" i="1"/>
  <c r="H6" i="1" s="1"/>
  <c r="T6" i="1"/>
  <c r="J6" i="1"/>
  <c r="F6" i="1"/>
  <c r="U6" i="1" s="1"/>
  <c r="L6" i="1" s="1"/>
  <c r="E6" i="1"/>
  <c r="X5" i="1"/>
  <c r="T5" i="1"/>
  <c r="J5" i="1"/>
  <c r="F5" i="1"/>
  <c r="U5" i="1" s="1"/>
  <c r="L5" i="1" s="1"/>
  <c r="E5" i="1"/>
  <c r="H5" i="1" s="1"/>
  <c r="X4" i="1"/>
  <c r="T4" i="1"/>
  <c r="J4" i="1"/>
  <c r="F4" i="1"/>
  <c r="U4" i="1" s="1"/>
  <c r="E4" i="1"/>
  <c r="E12" i="1" s="1"/>
  <c r="H12" i="1" l="1"/>
  <c r="M12" i="1" s="1"/>
  <c r="G10" i="1"/>
  <c r="G6" i="1"/>
  <c r="L8" i="1"/>
  <c r="L4" i="1"/>
  <c r="M8" i="1"/>
  <c r="I8" i="1"/>
  <c r="I6" i="1"/>
  <c r="M6" i="1"/>
  <c r="I9" i="1"/>
  <c r="M9" i="1"/>
  <c r="I12" i="1"/>
  <c r="I13" i="1"/>
  <c r="M13" i="1"/>
  <c r="I5" i="1"/>
  <c r="M5" i="1"/>
  <c r="M10" i="1"/>
  <c r="I10" i="1"/>
  <c r="D18" i="1"/>
  <c r="C19" i="1"/>
  <c r="G13" i="1"/>
  <c r="M7" i="1"/>
  <c r="U9" i="1"/>
  <c r="L9" i="1" s="1"/>
  <c r="M11" i="1"/>
  <c r="F12" i="1"/>
  <c r="U12" i="1" s="1"/>
  <c r="L12" i="1" s="1"/>
  <c r="G5" i="1"/>
  <c r="G4" i="1"/>
  <c r="U7" i="1"/>
  <c r="L7" i="1" s="1"/>
  <c r="G8" i="1"/>
  <c r="U11" i="1"/>
  <c r="L11" i="1" s="1"/>
  <c r="A18" i="1"/>
  <c r="E18" i="1"/>
  <c r="F18" i="1" s="1"/>
  <c r="H4" i="1"/>
  <c r="G12" i="1" l="1"/>
  <c r="D19" i="1"/>
  <c r="E19" i="1" s="1"/>
  <c r="F19" i="1" s="1"/>
  <c r="C20" i="1"/>
  <c r="M4" i="1"/>
  <c r="I4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<sst xmlns="http://schemas.openxmlformats.org/spreadsheetml/2006/main" count="49" uniqueCount="45">
  <si>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</si>
  <si>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</si>
  <si>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13-Dec-25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</si>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</sst>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selection activeCell="U12" sqref="U12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89264</v>
      </c>
      <c r="C4" s="9">
        <v>3046419</v>
      </c>
      <c r="D4" s="9">
        <v>1072918</v>
      </c>
      <c r="E4" s="9">
        <f t="shared" ref="E4:E11" si="0">C4-D4</f>
        <v>1973501</v>
      </c>
      <c r="F4" s="9">
        <f t="shared" ref="F4:F11" si="1">C4*W4/V4</f>
        <v>1288869.576923077</v>
      </c>
      <c r="G4" s="9">
        <f t="shared" ref="G4:G11" si="2">F4-D4</f>
        <v>215951.57692307699</v>
      </c>
      <c r="H4" s="9">
        <f t="shared" ref="H4:H13" si="3">(E4+B4)/(X4+1)</f>
        <v>128922.8125</v>
      </c>
      <c r="I4" s="9">
        <f t="shared" ref="I4:I13" si="4">H4*N4</f>
        <v>908905.828125</v>
      </c>
      <c r="J4" s="9">
        <f t="shared" ref="J4:J13" si="5">B4*O4</f>
        <v>622170.07999999996</v>
      </c>
      <c r="K4" s="9">
        <v>86261</v>
      </c>
      <c r="L4" s="16">
        <f t="shared" ref="L4:L13" si="6">T4/U4</f>
        <v>0.82300262413202963</v>
      </c>
      <c r="M4" s="9">
        <f t="shared" ref="M4:M13" si="7">H4/P4</f>
        <v>12892.28125</v>
      </c>
      <c r="N4" s="8">
        <v>7.05</v>
      </c>
      <c r="O4" s="8">
        <v>6.97</v>
      </c>
      <c r="P4" s="8">
        <v>10</v>
      </c>
      <c r="Q4" s="8">
        <v>10.93</v>
      </c>
      <c r="R4" s="11">
        <v>0.7</v>
      </c>
      <c r="S4" s="11">
        <v>0.73239999999999994</v>
      </c>
      <c r="T4" s="9">
        <f t="shared" ref="T4:T13" si="8">O4*D4</f>
        <v>7478238.46</v>
      </c>
      <c r="U4" s="9">
        <f t="shared" ref="U4:U13" si="9">N4*F4</f>
        <v>9086530.5173076931</v>
      </c>
      <c r="V4" s="8">
        <v>26</v>
      </c>
      <c r="W4" s="8">
        <v>11</v>
      </c>
      <c r="X4" s="8">
        <f t="shared" ref="X4:X13" si="10">V4-W4</f>
        <v>15</v>
      </c>
    </row>
    <row r="5" spans="1:24" x14ac:dyDescent="0.25">
      <c r="A5" s="10" t="s">
        <v>28</v>
      </c>
      <c r="B5" s="9">
        <v>14910</v>
      </c>
      <c r="C5" s="9">
        <v>350940</v>
      </c>
      <c r="D5" s="9">
        <v>148010</v>
      </c>
      <c r="E5" s="9">
        <f t="shared" si="0"/>
        <v>202930</v>
      </c>
      <c r="F5" s="9">
        <f t="shared" si="1"/>
        <v>148474.61538461538</v>
      </c>
      <c r="G5" s="9">
        <f t="shared" si="2"/>
        <v>464.61538461537566</v>
      </c>
      <c r="H5" s="9">
        <f t="shared" si="3"/>
        <v>13615</v>
      </c>
      <c r="I5" s="9">
        <f t="shared" si="4"/>
        <v>95985.75</v>
      </c>
      <c r="J5" s="9">
        <f t="shared" si="5"/>
        <v>88863.6</v>
      </c>
      <c r="K5" s="9">
        <v>14986</v>
      </c>
      <c r="L5" s="16">
        <f t="shared" si="6"/>
        <v>0.8427446272417044</v>
      </c>
      <c r="M5" s="17">
        <f t="shared" si="7"/>
        <v>1361.5</v>
      </c>
      <c r="N5" s="8">
        <v>7.05</v>
      </c>
      <c r="O5" s="8">
        <v>5.96</v>
      </c>
      <c r="P5" s="8">
        <v>10</v>
      </c>
      <c r="Q5" s="8">
        <v>11.5</v>
      </c>
      <c r="R5" s="11">
        <v>0.7</v>
      </c>
      <c r="S5" s="11">
        <v>0.74980000000000002</v>
      </c>
      <c r="T5" s="9">
        <f t="shared" si="8"/>
        <v>882139.6</v>
      </c>
      <c r="U5" s="9">
        <f t="shared" si="9"/>
        <v>1046746.0384615384</v>
      </c>
      <c r="V5" s="8">
        <v>26</v>
      </c>
      <c r="W5" s="8">
        <v>11</v>
      </c>
      <c r="X5" s="8">
        <f t="shared" si="10"/>
        <v>15</v>
      </c>
    </row>
    <row r="6" spans="1:24" x14ac:dyDescent="0.25">
      <c r="A6" s="10" t="s">
        <v>29</v>
      </c>
      <c r="B6" s="9">
        <v>55957</v>
      </c>
      <c r="C6" s="9">
        <v>1530868</v>
      </c>
      <c r="D6" s="9">
        <v>527944</v>
      </c>
      <c r="E6" s="9">
        <f t="shared" si="0"/>
        <v>1002924</v>
      </c>
      <c r="F6" s="9">
        <f t="shared" si="1"/>
        <v>647674.92307692312</v>
      </c>
      <c r="G6" s="9">
        <f t="shared" si="2"/>
        <v>119730.92307692312</v>
      </c>
      <c r="H6" s="9">
        <f t="shared" si="3"/>
        <v>66180.0625</v>
      </c>
      <c r="I6" s="9">
        <f t="shared" si="4"/>
        <v>448700.82375000004</v>
      </c>
      <c r="J6" s="9">
        <f t="shared" si="5"/>
        <v>348612.11000000004</v>
      </c>
      <c r="K6" s="9">
        <v>55358</v>
      </c>
      <c r="L6" s="16">
        <f t="shared" si="6"/>
        <v>0.7490126096917995</v>
      </c>
      <c r="M6" s="9">
        <f t="shared" si="7"/>
        <v>6016.369318181818</v>
      </c>
      <c r="N6" s="8">
        <v>6.78</v>
      </c>
      <c r="O6" s="8">
        <v>6.23</v>
      </c>
      <c r="P6" s="8">
        <v>11</v>
      </c>
      <c r="Q6" s="8">
        <v>10.56</v>
      </c>
      <c r="R6" s="11">
        <v>0.74</v>
      </c>
      <c r="S6" s="11">
        <v>0.69920000000000004</v>
      </c>
      <c r="T6" s="9">
        <f t="shared" si="8"/>
        <v>3289091.12</v>
      </c>
      <c r="U6" s="9">
        <f t="shared" si="9"/>
        <v>4391235.9784615394</v>
      </c>
      <c r="V6" s="8">
        <v>26</v>
      </c>
      <c r="W6" s="8">
        <v>11</v>
      </c>
      <c r="X6" s="8">
        <f t="shared" si="10"/>
        <v>15</v>
      </c>
    </row>
    <row r="7" spans="1:24" x14ac:dyDescent="0.25">
      <c r="A7" s="10" t="s">
        <v>30</v>
      </c>
      <c r="B7" s="9">
        <v>81944</v>
      </c>
      <c r="C7" s="9">
        <v>2273631</v>
      </c>
      <c r="D7" s="9">
        <v>845794</v>
      </c>
      <c r="E7" s="9">
        <f t="shared" si="0"/>
        <v>1427837</v>
      </c>
      <c r="F7" s="9">
        <f t="shared" si="1"/>
        <v>961920.80769230775</v>
      </c>
      <c r="G7" s="9">
        <f t="shared" si="2"/>
        <v>116126.80769230775</v>
      </c>
      <c r="H7" s="9">
        <f t="shared" si="3"/>
        <v>94361.3125</v>
      </c>
      <c r="I7" s="9">
        <f t="shared" si="4"/>
        <v>793578.63812500006</v>
      </c>
      <c r="J7" s="9">
        <f t="shared" si="5"/>
        <v>648996.48</v>
      </c>
      <c r="K7" s="9">
        <v>90592</v>
      </c>
      <c r="L7" s="16">
        <f t="shared" si="6"/>
        <v>0.82804600560797081</v>
      </c>
      <c r="M7" s="9">
        <f t="shared" si="7"/>
        <v>9436.1312500000004</v>
      </c>
      <c r="N7" s="8">
        <v>8.41</v>
      </c>
      <c r="O7" s="8">
        <v>7.92</v>
      </c>
      <c r="P7" s="8">
        <v>10</v>
      </c>
      <c r="Q7" s="8">
        <v>9.75</v>
      </c>
      <c r="R7" s="11">
        <v>0.63</v>
      </c>
      <c r="S7" s="11">
        <v>0.60699999999999998</v>
      </c>
      <c r="T7" s="9">
        <f t="shared" si="8"/>
        <v>6698688.4799999995</v>
      </c>
      <c r="U7" s="9">
        <f t="shared" si="9"/>
        <v>8089753.9926923085</v>
      </c>
      <c r="V7" s="8">
        <v>26</v>
      </c>
      <c r="W7" s="8">
        <v>11</v>
      </c>
      <c r="X7" s="8">
        <f t="shared" si="10"/>
        <v>15</v>
      </c>
    </row>
    <row r="8" spans="1:24" x14ac:dyDescent="0.25">
      <c r="A8" s="10" t="s">
        <v>31</v>
      </c>
      <c r="B8" s="9">
        <v>67778</v>
      </c>
      <c r="C8" s="9">
        <v>2343006</v>
      </c>
      <c r="D8" s="9">
        <v>725694</v>
      </c>
      <c r="E8" s="9">
        <f t="shared" si="0"/>
        <v>1617312</v>
      </c>
      <c r="F8" s="9">
        <f t="shared" si="1"/>
        <v>991271.76923076925</v>
      </c>
      <c r="G8" s="9">
        <f t="shared" si="2"/>
        <v>265577.76923076925</v>
      </c>
      <c r="H8" s="9">
        <f t="shared" si="3"/>
        <v>105318.125</v>
      </c>
      <c r="I8" s="9">
        <f t="shared" si="4"/>
        <v>777247.76249999995</v>
      </c>
      <c r="J8" s="9">
        <f t="shared" si="5"/>
        <v>494101.62</v>
      </c>
      <c r="K8" s="9">
        <v>76072</v>
      </c>
      <c r="L8" s="16">
        <f t="shared" si="6"/>
        <v>0.72315594514207282</v>
      </c>
      <c r="M8" s="9">
        <f t="shared" si="7"/>
        <v>10531.8125</v>
      </c>
      <c r="N8" s="8">
        <v>7.38</v>
      </c>
      <c r="O8" s="8">
        <v>7.29</v>
      </c>
      <c r="P8" s="8">
        <v>10</v>
      </c>
      <c r="Q8" s="8">
        <v>8.59</v>
      </c>
      <c r="R8" s="11">
        <v>0.71</v>
      </c>
      <c r="S8" s="11">
        <v>0.66269999999999996</v>
      </c>
      <c r="T8" s="9">
        <f t="shared" si="8"/>
        <v>5290309.26</v>
      </c>
      <c r="U8" s="9">
        <f t="shared" si="9"/>
        <v>7315585.6569230771</v>
      </c>
      <c r="V8" s="8">
        <v>26</v>
      </c>
      <c r="W8" s="8">
        <v>11</v>
      </c>
      <c r="X8" s="8">
        <f t="shared" si="10"/>
        <v>15</v>
      </c>
    </row>
    <row r="9" spans="1:24" x14ac:dyDescent="0.25">
      <c r="A9" s="10" t="s">
        <v>32</v>
      </c>
      <c r="B9" s="9">
        <v>116763</v>
      </c>
      <c r="C9" s="9">
        <v>2907274</v>
      </c>
      <c r="D9" s="9">
        <v>1242614</v>
      </c>
      <c r="E9" s="9">
        <f t="shared" si="0"/>
        <v>1664660</v>
      </c>
      <c r="F9" s="9">
        <f t="shared" si="1"/>
        <v>1230000.5384615385</v>
      </c>
      <c r="G9" s="9">
        <f t="shared" si="2"/>
        <v>-12613.461538461503</v>
      </c>
      <c r="H9" s="9">
        <f t="shared" si="3"/>
        <v>111338.9375</v>
      </c>
      <c r="I9" s="9">
        <f t="shared" si="4"/>
        <v>727043.26187500008</v>
      </c>
      <c r="J9" s="9">
        <f t="shared" si="5"/>
        <v>687734.07</v>
      </c>
      <c r="K9" s="9">
        <v>120806</v>
      </c>
      <c r="L9" s="16">
        <f t="shared" si="6"/>
        <v>0.9112405851589177</v>
      </c>
      <c r="M9" s="9">
        <f t="shared" si="7"/>
        <v>11133.893749999999</v>
      </c>
      <c r="N9" s="8">
        <v>6.53</v>
      </c>
      <c r="O9" s="8">
        <v>5.89</v>
      </c>
      <c r="P9" s="8">
        <v>10</v>
      </c>
      <c r="Q9" s="8">
        <v>11.29</v>
      </c>
      <c r="R9" s="11">
        <v>0.68</v>
      </c>
      <c r="S9" s="11">
        <v>0.71760000000000002</v>
      </c>
      <c r="T9" s="9">
        <f t="shared" si="8"/>
        <v>7318996.46</v>
      </c>
      <c r="U9" s="9">
        <f t="shared" si="9"/>
        <v>8031903.5161538469</v>
      </c>
      <c r="V9" s="8">
        <v>26</v>
      </c>
      <c r="W9" s="8">
        <v>11</v>
      </c>
      <c r="X9" s="8">
        <f t="shared" si="10"/>
        <v>15</v>
      </c>
    </row>
    <row r="10" spans="1:24" ht="14.25" customHeight="1" x14ac:dyDescent="0.25">
      <c r="A10" s="10" t="s">
        <v>33</v>
      </c>
      <c r="B10" s="9">
        <v>140131</v>
      </c>
      <c r="C10" s="9">
        <v>3971692</v>
      </c>
      <c r="D10" s="9">
        <v>1491441</v>
      </c>
      <c r="E10" s="9">
        <f t="shared" si="0"/>
        <v>2480251</v>
      </c>
      <c r="F10" s="9">
        <f t="shared" si="1"/>
        <v>1680331.2307692308</v>
      </c>
      <c r="G10" s="9">
        <f t="shared" si="2"/>
        <v>188890.23076923075</v>
      </c>
      <c r="H10" s="9">
        <f t="shared" si="3"/>
        <v>163773.875</v>
      </c>
      <c r="I10" s="9">
        <f t="shared" si="4"/>
        <v>1293813.6125</v>
      </c>
      <c r="J10" s="9">
        <f t="shared" si="5"/>
        <v>1036969.4</v>
      </c>
      <c r="K10" s="9">
        <v>151165</v>
      </c>
      <c r="L10" s="16">
        <f t="shared" si="6"/>
        <v>0.8314110780173104</v>
      </c>
      <c r="M10" s="9">
        <f t="shared" si="7"/>
        <v>16377.387500000001</v>
      </c>
      <c r="N10" s="8">
        <v>7.9</v>
      </c>
      <c r="O10" s="8">
        <v>7.4</v>
      </c>
      <c r="P10" s="8">
        <v>10</v>
      </c>
      <c r="Q10" s="8">
        <v>9.74</v>
      </c>
      <c r="R10" s="11">
        <v>0.68</v>
      </c>
      <c r="S10" s="11">
        <v>0.69099999999999995</v>
      </c>
      <c r="T10" s="9">
        <f t="shared" si="8"/>
        <v>11036663.4</v>
      </c>
      <c r="U10" s="9">
        <f t="shared" si="9"/>
        <v>13274616.723076923</v>
      </c>
      <c r="V10" s="8">
        <v>26</v>
      </c>
      <c r="W10" s="8">
        <v>11</v>
      </c>
      <c r="X10" s="8">
        <f t="shared" si="10"/>
        <v>15</v>
      </c>
    </row>
    <row r="11" spans="1:24" ht="14.25" customHeight="1" thickBot="1" x14ac:dyDescent="0.3">
      <c r="A11" s="21" t="s">
        <v>34</v>
      </c>
      <c r="B11" s="22">
        <v>34305</v>
      </c>
      <c r="C11" s="22">
        <v>0</v>
      </c>
      <c r="D11" s="22">
        <v>463785</v>
      </c>
      <c r="E11" s="9">
        <f t="shared" si="0"/>
        <v>-463785</v>
      </c>
      <c r="F11" s="9">
        <f t="shared" si="1"/>
        <v>0</v>
      </c>
      <c r="G11" s="9">
        <f t="shared" si="2"/>
        <v>-463785</v>
      </c>
      <c r="H11" s="9">
        <f t="shared" si="3"/>
        <v>-26842.5</v>
      </c>
      <c r="I11" s="9">
        <f t="shared" si="4"/>
        <v>0</v>
      </c>
      <c r="J11" s="9">
        <f t="shared" si="5"/>
        <v>161919.6</v>
      </c>
      <c r="K11" s="9">
        <v>53744</v>
      </c>
      <c r="L11" s="16" t="e">
        <f t="shared" si="6"/>
        <v>#DIV/0!</v>
      </c>
      <c r="M11" s="9">
        <f t="shared" si="7"/>
        <v>-2684.25</v>
      </c>
      <c r="N11" s="18">
        <v>0</v>
      </c>
      <c r="O11" s="18">
        <v>4.72</v>
      </c>
      <c r="P11" s="18">
        <v>10</v>
      </c>
      <c r="Q11" s="18">
        <v>10.68</v>
      </c>
      <c r="R11" s="19">
        <v>0.63</v>
      </c>
      <c r="S11" s="19">
        <v>0.45939999999999998</v>
      </c>
      <c r="T11" s="9">
        <f t="shared" si="8"/>
        <v>2189065.1999999997</v>
      </c>
      <c r="U11" s="9">
        <f t="shared" si="9"/>
        <v>0</v>
      </c>
      <c r="V11" s="18">
        <v>26</v>
      </c>
      <c r="W11" s="18">
        <v>11</v>
      </c>
      <c r="X11" s="8">
        <f t="shared" si="10"/>
        <v>15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601052</v>
      </c>
      <c r="C12" s="7">
        <f t="shared" si="11"/>
        <v>16423830</v>
      </c>
      <c r="D12" s="7">
        <f t="shared" si="11"/>
        <v>6518200</v>
      </c>
      <c r="E12" s="7">
        <f t="shared" si="11"/>
        <v>9905630</v>
      </c>
      <c r="F12" s="7">
        <f t="shared" si="11"/>
        <v>6948543.461538461</v>
      </c>
      <c r="G12" s="7">
        <f t="shared" si="11"/>
        <v>430343.46153846174</v>
      </c>
      <c r="H12" s="7">
        <f t="shared" si="3"/>
        <v>656667.625</v>
      </c>
      <c r="I12" s="7">
        <f t="shared" si="4"/>
        <v>4846207.0724999998</v>
      </c>
      <c r="J12" s="7">
        <f t="shared" si="5"/>
        <v>3935387.9699999997</v>
      </c>
      <c r="K12" s="7">
        <f>SUM(K4:K11)</f>
        <v>648984</v>
      </c>
      <c r="L12" s="12">
        <f t="shared" si="6"/>
        <v>0.83224855337122083</v>
      </c>
      <c r="M12" s="7">
        <f t="shared" si="7"/>
        <v>65666.762499999997</v>
      </c>
      <c r="N12" s="6">
        <v>7.38</v>
      </c>
      <c r="O12" s="6">
        <f>AVERAGE(O4:O11)</f>
        <v>6.5474999999999994</v>
      </c>
      <c r="P12" s="6">
        <v>10</v>
      </c>
      <c r="Q12" s="6">
        <f>AVERAGE(Q4:Q11)</f>
        <v>10.379999999999999</v>
      </c>
      <c r="R12" s="12">
        <v>0.68630000000000002</v>
      </c>
      <c r="S12" s="12">
        <f>AVERAGE(S4:S11)</f>
        <v>0.66488749999999996</v>
      </c>
      <c r="T12" s="7">
        <f t="shared" si="8"/>
        <v>42677914.5</v>
      </c>
      <c r="U12" s="7">
        <f t="shared" si="9"/>
        <v>51280250.746153839</v>
      </c>
      <c r="V12" s="6">
        <v>26</v>
      </c>
      <c r="W12" s="6">
        <v>11</v>
      </c>
      <c r="X12" s="6">
        <f t="shared" si="10"/>
        <v>15</v>
      </c>
    </row>
    <row r="13" spans="1:24" ht="15.75" customHeight="1" thickTop="1" x14ac:dyDescent="0.25">
      <c r="A13" s="10" t="s">
        <v>36</v>
      </c>
      <c r="B13" s="9">
        <v>111240</v>
      </c>
      <c r="C13" s="9">
        <v>3336726</v>
      </c>
      <c r="D13" s="9">
        <v>1434407</v>
      </c>
      <c r="E13" s="9">
        <f>C13-D13</f>
        <v>1902319</v>
      </c>
      <c r="F13" s="9">
        <f>C13*W13/V13</f>
        <v>1411691.7692307692</v>
      </c>
      <c r="G13" s="9">
        <f>F13-D13</f>
        <v>-22715.230769230751</v>
      </c>
      <c r="H13" s="9">
        <f t="shared" si="3"/>
        <v>125847.4375</v>
      </c>
      <c r="I13" s="9">
        <f t="shared" si="4"/>
        <v>527300.76312500006</v>
      </c>
      <c r="J13" s="9">
        <f t="shared" si="5"/>
        <v>421599.6</v>
      </c>
      <c r="K13" s="9">
        <v>100879</v>
      </c>
      <c r="L13" s="16">
        <f t="shared" si="6"/>
        <v>0.91908927937579921</v>
      </c>
      <c r="M13" s="9">
        <f t="shared" si="7"/>
        <v>12484.864831349207</v>
      </c>
      <c r="N13" s="8">
        <v>4.1900000000000004</v>
      </c>
      <c r="O13" s="8">
        <v>3.79</v>
      </c>
      <c r="P13" s="8">
        <v>10.08</v>
      </c>
      <c r="Q13" s="8">
        <v>10.08</v>
      </c>
      <c r="R13" s="11">
        <v>0.79</v>
      </c>
      <c r="S13" s="11">
        <v>0.75069999999999992</v>
      </c>
      <c r="T13" s="9">
        <f t="shared" si="8"/>
        <v>5436402.5300000003</v>
      </c>
      <c r="U13" s="9">
        <f t="shared" si="9"/>
        <v>5914988.5130769238</v>
      </c>
      <c r="V13" s="8">
        <v>26</v>
      </c>
      <c r="W13" s="8">
        <v>11</v>
      </c>
      <c r="X13" s="8">
        <f t="shared" si="10"/>
        <v>15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16423830</v>
      </c>
      <c r="B18" s="13">
        <f>D12</f>
        <v>6518200</v>
      </c>
      <c r="C18" s="13">
        <f>QUOTIENT(B12,10000)*10000</f>
        <v>600000</v>
      </c>
      <c r="D18" s="13">
        <f t="shared" ref="D18:D23" si="12">C18*$X$12</f>
        <v>9000000</v>
      </c>
      <c r="E18" s="13">
        <f t="shared" ref="E18:E23" si="13">$D$12+D18</f>
        <v>15518200</v>
      </c>
      <c r="F18" s="13">
        <f t="shared" ref="F18:F23" si="14">$C$12-E18</f>
        <v>905630</v>
      </c>
      <c r="M18" s="1"/>
    </row>
    <row r="19" spans="1:13" x14ac:dyDescent="0.25">
      <c r="A19" s="15" t="s">
        <v>44</v>
      </c>
      <c r="B19" s="14"/>
      <c r="C19" s="13">
        <f>C18+35000</f>
        <v>635000</v>
      </c>
      <c r="D19" s="13">
        <f t="shared" si="12"/>
        <v>9525000</v>
      </c>
      <c r="E19" s="13">
        <f t="shared" si="13"/>
        <v>16043200</v>
      </c>
      <c r="F19" s="13">
        <f t="shared" si="14"/>
        <v>380630</v>
      </c>
      <c r="M19" s="1"/>
    </row>
    <row r="20" spans="1:13" x14ac:dyDescent="0.25">
      <c r="A20" s="15" t="s">
        <v>44</v>
      </c>
      <c r="B20" s="14"/>
      <c r="C20" s="13">
        <f>C19+35000</f>
        <v>670000</v>
      </c>
      <c r="D20" s="13">
        <f t="shared" si="12"/>
        <v>10050000</v>
      </c>
      <c r="E20" s="13">
        <f t="shared" si="13"/>
        <v>16568200</v>
      </c>
      <c r="F20" s="13">
        <f t="shared" si="14"/>
        <v>-144370</v>
      </c>
    </row>
    <row r="21" spans="1:13" x14ac:dyDescent="0.25">
      <c r="A21" s="15" t="s">
        <v>44</v>
      </c>
      <c r="B21" s="14"/>
      <c r="C21" s="13">
        <f>C20+35000</f>
        <v>705000</v>
      </c>
      <c r="D21" s="13">
        <f t="shared" si="12"/>
        <v>10575000</v>
      </c>
      <c r="E21" s="13">
        <f t="shared" si="13"/>
        <v>17093200</v>
      </c>
      <c r="F21" s="13">
        <f t="shared" si="14"/>
        <v>-669370</v>
      </c>
    </row>
    <row r="22" spans="1:13" x14ac:dyDescent="0.25">
      <c r="A22" s="15" t="s">
        <v>44</v>
      </c>
      <c r="B22" s="14"/>
      <c r="C22" s="13">
        <f>C21+35000</f>
        <v>740000</v>
      </c>
      <c r="D22" s="13">
        <f t="shared" si="12"/>
        <v>11100000</v>
      </c>
      <c r="E22" s="13">
        <f t="shared" si="13"/>
        <v>17618200</v>
      </c>
      <c r="F22" s="13">
        <f t="shared" si="14"/>
        <v>-1194370</v>
      </c>
    </row>
    <row r="23" spans="1:13" x14ac:dyDescent="0.25">
      <c r="A23" s="15" t="s">
        <v>44</v>
      </c>
      <c r="B23" s="14"/>
      <c r="C23" s="13">
        <f>C22+35000</f>
        <v>775000</v>
      </c>
      <c r="D23" s="13">
        <f t="shared" si="12"/>
        <v>11625000</v>
      </c>
      <c r="E23" s="13">
        <f t="shared" si="13"/>
        <v>18143200</v>
      </c>
      <c r="F23" s="13">
        <f t="shared" si="14"/>
        <v>-1719370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2025-12-14T05:49:24Z</dcterms:modified>
</cp:coreProperties>
</file>