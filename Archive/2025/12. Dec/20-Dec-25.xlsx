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D9C23D30-0080-461C-A499-12CBACD88993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X13" i="1"/>
  <c r="T13" i="1"/>
  <c r="J13" i="1"/>
  <c r="F13" i="1"/>
  <c r="U13" i="1" s="1"/>
  <c r="L13" i="1" s="1"/>
  <c r="E13" i="1"/>
  <c r="H13" i="1" s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I11" i="1" s="1"/>
  <c r="T11" i="1"/>
  <c r="J11" i="1"/>
  <c r="F11" i="1"/>
  <c r="U11" i="1" s="1"/>
  <c r="E11" i="1"/>
  <c r="X10" i="1"/>
  <c r="H10" i="1" s="1"/>
  <c r="T10" i="1"/>
  <c r="J10" i="1"/>
  <c r="F10" i="1"/>
  <c r="U10" i="1" s="1"/>
  <c r="L10" i="1" s="1"/>
  <c r="E10" i="1"/>
  <c r="X9" i="1"/>
  <c r="T9" i="1"/>
  <c r="J9" i="1"/>
  <c r="F9" i="1"/>
  <c r="U9" i="1" s="1"/>
  <c r="L9" i="1" s="1"/>
  <c r="E9" i="1"/>
  <c r="H9" i="1" s="1"/>
  <c r="X8" i="1"/>
  <c r="T8" i="1"/>
  <c r="J8" i="1"/>
  <c r="F8" i="1"/>
  <c r="U8" i="1" s="1"/>
  <c r="E8" i="1"/>
  <c r="H8" i="1" s="1"/>
  <c r="X7" i="1"/>
  <c r="T7" i="1"/>
  <c r="J7" i="1"/>
  <c r="H7" i="1"/>
  <c r="I7" i="1" s="1"/>
  <c r="F7" i="1"/>
  <c r="G7" i="1" s="1"/>
  <c r="E7" i="1"/>
  <c r="X6" i="1"/>
  <c r="H6" i="1" s="1"/>
  <c r="T6" i="1"/>
  <c r="J6" i="1"/>
  <c r="F6" i="1"/>
  <c r="U6" i="1" s="1"/>
  <c r="L6" i="1" s="1"/>
  <c r="E6" i="1"/>
  <c r="X5" i="1"/>
  <c r="T5" i="1"/>
  <c r="J5" i="1"/>
  <c r="F5" i="1"/>
  <c r="G5" i="1" s="1"/>
  <c r="E5" i="1"/>
  <c r="X4" i="1"/>
  <c r="T4" i="1"/>
  <c r="J4" i="1"/>
  <c r="F4" i="1"/>
  <c r="U4" i="1" s="1"/>
  <c r="E4" i="1"/>
  <c r="E12" i="1" s="1"/>
  <c r="H5" i="1" l="1"/>
  <c r="I5" i="1" s="1"/>
  <c r="H12" i="1"/>
  <c r="G6" i="1"/>
  <c r="G11" i="1"/>
  <c r="G10" i="1"/>
  <c r="L4" i="1"/>
  <c r="M6" i="1"/>
  <c r="I6" i="1"/>
  <c r="I9" i="1"/>
  <c r="M9" i="1"/>
  <c r="L11" i="1"/>
  <c r="M5" i="1"/>
  <c r="L8" i="1"/>
  <c r="I10" i="1"/>
  <c r="M10" i="1"/>
  <c r="I13" i="1"/>
  <c r="M13" i="1"/>
  <c r="M12" i="1"/>
  <c r="I12" i="1"/>
  <c r="M8" i="1"/>
  <c r="I8" i="1"/>
  <c r="D18" i="1"/>
  <c r="E18" i="1" s="1"/>
  <c r="F18" i="1" s="1"/>
  <c r="C19" i="1"/>
  <c r="G13" i="1"/>
  <c r="U5" i="1"/>
  <c r="L5" i="1" s="1"/>
  <c r="M11" i="1"/>
  <c r="F12" i="1"/>
  <c r="U12" i="1" s="1"/>
  <c r="L12" i="1" s="1"/>
  <c r="G9" i="1"/>
  <c r="G4" i="1"/>
  <c r="U7" i="1"/>
  <c r="L7" i="1" s="1"/>
  <c r="G8" i="1"/>
  <c r="A18" i="1"/>
  <c r="M7" i="1"/>
  <c r="H4" i="1"/>
  <c r="D19" i="1" l="1"/>
  <c r="E19" i="1" s="1"/>
  <c r="F19" i="1" s="1"/>
  <c r="C20" i="1"/>
  <c r="G12" i="1"/>
  <c r="M4" i="1"/>
  <c r="I4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<sst xmlns="http://schemas.openxmlformats.org/spreadsheetml/2006/main" count="49" uniqueCount="45">
  <si>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</si>
  <si>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</si>
  <si>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20-Dec-25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</si>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</sst>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sqref="A1:XFD2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92033</v>
      </c>
      <c r="C4" s="9">
        <v>3046419</v>
      </c>
      <c r="D4" s="9">
        <v>1590840</v>
      </c>
      <c r="E4" s="9">
        <f t="shared" ref="E4:E11" si="0">C4-D4</f>
        <v>1455579</v>
      </c>
      <c r="F4" s="9">
        <f t="shared" ref="F4:F11" si="1">C4*W4/V4</f>
        <v>1918115.6666666667</v>
      </c>
      <c r="G4" s="9">
        <f t="shared" ref="G4:G11" si="2">F4-D4</f>
        <v>327275.66666666674</v>
      </c>
      <c r="H4" s="9">
        <f t="shared" ref="H4:H13" si="3">(E4+B4)/(X4+1)</f>
        <v>140692</v>
      </c>
      <c r="I4" s="9">
        <f t="shared" ref="I4:I13" si="4">H4*N4</f>
        <v>991878.6</v>
      </c>
      <c r="J4" s="9">
        <f t="shared" ref="J4:J13" si="5">B4*O4</f>
        <v>648832.65</v>
      </c>
      <c r="K4" s="9">
        <v>87498</v>
      </c>
      <c r="L4" s="16">
        <f t="shared" ref="L4:L13" si="6">T4/U4</f>
        <v>0.82937646964981426</v>
      </c>
      <c r="M4" s="9">
        <f t="shared" ref="M4:M13" si="7">H4/P4</f>
        <v>14069.2</v>
      </c>
      <c r="N4" s="8">
        <v>7.05</v>
      </c>
      <c r="O4" s="8">
        <v>7.05</v>
      </c>
      <c r="P4" s="8">
        <v>10</v>
      </c>
      <c r="Q4" s="8">
        <v>10.97</v>
      </c>
      <c r="R4" s="11">
        <v>0.7</v>
      </c>
      <c r="S4" s="11">
        <v>0.72950000000000004</v>
      </c>
      <c r="T4" s="9">
        <f t="shared" ref="T4:T13" si="8">O4*D4</f>
        <v>11215422</v>
      </c>
      <c r="U4" s="9">
        <f t="shared" ref="U4:U13" si="9">N4*F4</f>
        <v>13522715.450000001</v>
      </c>
      <c r="V4" s="8">
        <v>27</v>
      </c>
      <c r="W4" s="8">
        <v>17</v>
      </c>
      <c r="X4" s="8">
        <f t="shared" ref="X4:X13" si="10">V4-W4</f>
        <v>10</v>
      </c>
    </row>
    <row r="5" spans="1:24" x14ac:dyDescent="0.25">
      <c r="A5" s="10" t="s">
        <v>28</v>
      </c>
      <c r="B5" s="9">
        <v>14930</v>
      </c>
      <c r="C5" s="9">
        <v>350940</v>
      </c>
      <c r="D5" s="9">
        <v>220350</v>
      </c>
      <c r="E5" s="9">
        <f t="shared" si="0"/>
        <v>130590</v>
      </c>
      <c r="F5" s="9">
        <f t="shared" si="1"/>
        <v>220962.22222222222</v>
      </c>
      <c r="G5" s="9">
        <f t="shared" si="2"/>
        <v>612.22222222221899</v>
      </c>
      <c r="H5" s="9">
        <f t="shared" si="3"/>
        <v>13229.09090909091</v>
      </c>
      <c r="I5" s="9">
        <f t="shared" si="4"/>
        <v>93265.090909090912</v>
      </c>
      <c r="J5" s="9">
        <f t="shared" si="5"/>
        <v>86594</v>
      </c>
      <c r="K5" s="9">
        <v>14245</v>
      </c>
      <c r="L5" s="16">
        <f t="shared" si="6"/>
        <v>0.82041558616076571</v>
      </c>
      <c r="M5" s="17">
        <f t="shared" si="7"/>
        <v>1322.909090909091</v>
      </c>
      <c r="N5" s="8">
        <v>7.05</v>
      </c>
      <c r="O5" s="8">
        <v>5.8</v>
      </c>
      <c r="P5" s="8">
        <v>10</v>
      </c>
      <c r="Q5" s="8">
        <v>11.05</v>
      </c>
      <c r="R5" s="11">
        <v>0.7</v>
      </c>
      <c r="S5" s="11">
        <v>0.75069999999999992</v>
      </c>
      <c r="T5" s="9">
        <f t="shared" si="8"/>
        <v>1278030</v>
      </c>
      <c r="U5" s="9">
        <f t="shared" si="9"/>
        <v>1557783.6666666665</v>
      </c>
      <c r="V5" s="8">
        <v>27</v>
      </c>
      <c r="W5" s="8">
        <v>17</v>
      </c>
      <c r="X5" s="8">
        <f t="shared" si="10"/>
        <v>10</v>
      </c>
    </row>
    <row r="6" spans="1:24" x14ac:dyDescent="0.25">
      <c r="A6" s="10" t="s">
        <v>29</v>
      </c>
      <c r="B6" s="9">
        <v>43899</v>
      </c>
      <c r="C6" s="9">
        <v>1530868</v>
      </c>
      <c r="D6" s="9">
        <v>816350</v>
      </c>
      <c r="E6" s="9">
        <f t="shared" si="0"/>
        <v>714518</v>
      </c>
      <c r="F6" s="9">
        <f t="shared" si="1"/>
        <v>963879.8518518518</v>
      </c>
      <c r="G6" s="9">
        <f t="shared" si="2"/>
        <v>147529.8518518518</v>
      </c>
      <c r="H6" s="9">
        <f t="shared" si="3"/>
        <v>68947</v>
      </c>
      <c r="I6" s="9">
        <f t="shared" si="4"/>
        <v>467460.66000000003</v>
      </c>
      <c r="J6" s="9">
        <f t="shared" si="5"/>
        <v>263832.99</v>
      </c>
      <c r="K6" s="9">
        <v>43135</v>
      </c>
      <c r="L6" s="16">
        <f t="shared" si="6"/>
        <v>0.75075506866908204</v>
      </c>
      <c r="M6" s="9">
        <f t="shared" si="7"/>
        <v>6267.909090909091</v>
      </c>
      <c r="N6" s="8">
        <v>6.78</v>
      </c>
      <c r="O6" s="8">
        <v>6.01</v>
      </c>
      <c r="P6" s="8">
        <v>11</v>
      </c>
      <c r="Q6" s="8">
        <v>10.46</v>
      </c>
      <c r="R6" s="11">
        <v>0.74</v>
      </c>
      <c r="S6" s="11">
        <v>0.6966</v>
      </c>
      <c r="T6" s="9">
        <f t="shared" si="8"/>
        <v>4906263.5</v>
      </c>
      <c r="U6" s="9">
        <f t="shared" si="9"/>
        <v>6535105.3955555558</v>
      </c>
      <c r="V6" s="8">
        <v>27</v>
      </c>
      <c r="W6" s="8">
        <v>17</v>
      </c>
      <c r="X6" s="8">
        <f t="shared" si="10"/>
        <v>10</v>
      </c>
    </row>
    <row r="7" spans="1:24" x14ac:dyDescent="0.25">
      <c r="A7" s="10" t="s">
        <v>30</v>
      </c>
      <c r="B7" s="9">
        <v>83455</v>
      </c>
      <c r="C7" s="9">
        <v>2273631</v>
      </c>
      <c r="D7" s="9">
        <v>1341452</v>
      </c>
      <c r="E7" s="9">
        <f t="shared" si="0"/>
        <v>932179</v>
      </c>
      <c r="F7" s="9">
        <f t="shared" si="1"/>
        <v>1431545.4444444445</v>
      </c>
      <c r="G7" s="9">
        <f t="shared" si="2"/>
        <v>90093.444444444496</v>
      </c>
      <c r="H7" s="9">
        <f t="shared" si="3"/>
        <v>92330.363636363632</v>
      </c>
      <c r="I7" s="9">
        <f t="shared" si="4"/>
        <v>776498.35818181816</v>
      </c>
      <c r="J7" s="9">
        <f t="shared" si="5"/>
        <v>652618.1</v>
      </c>
      <c r="K7" s="9">
        <v>95950</v>
      </c>
      <c r="L7" s="16">
        <f t="shared" si="6"/>
        <v>0.87132616434201349</v>
      </c>
      <c r="M7" s="9">
        <f t="shared" si="7"/>
        <v>9233.0363636363636</v>
      </c>
      <c r="N7" s="8">
        <v>8.41</v>
      </c>
      <c r="O7" s="8">
        <v>7.82</v>
      </c>
      <c r="P7" s="8">
        <v>10</v>
      </c>
      <c r="Q7" s="8">
        <v>10.050000000000001</v>
      </c>
      <c r="R7" s="11">
        <v>0.63</v>
      </c>
      <c r="S7" s="11">
        <v>0.60980000000000001</v>
      </c>
      <c r="T7" s="9">
        <f t="shared" si="8"/>
        <v>10490154.640000001</v>
      </c>
      <c r="U7" s="9">
        <f t="shared" si="9"/>
        <v>12039297.187777778</v>
      </c>
      <c r="V7" s="8">
        <v>27</v>
      </c>
      <c r="W7" s="8">
        <v>17</v>
      </c>
      <c r="X7" s="8">
        <f t="shared" si="10"/>
        <v>10</v>
      </c>
    </row>
    <row r="8" spans="1:24" x14ac:dyDescent="0.25">
      <c r="A8" s="10" t="s">
        <v>31</v>
      </c>
      <c r="B8" s="9">
        <v>74786</v>
      </c>
      <c r="C8" s="9">
        <v>2343006</v>
      </c>
      <c r="D8" s="9">
        <v>1142185</v>
      </c>
      <c r="E8" s="9">
        <f t="shared" si="0"/>
        <v>1200821</v>
      </c>
      <c r="F8" s="9">
        <f t="shared" si="1"/>
        <v>1475226</v>
      </c>
      <c r="G8" s="9">
        <f t="shared" si="2"/>
        <v>333041</v>
      </c>
      <c r="H8" s="9">
        <f t="shared" si="3"/>
        <v>115964.27272727272</v>
      </c>
      <c r="I8" s="9">
        <f t="shared" si="4"/>
        <v>855816.33272727265</v>
      </c>
      <c r="J8" s="9">
        <f t="shared" si="5"/>
        <v>539207.05999999994</v>
      </c>
      <c r="K8" s="9">
        <v>83413</v>
      </c>
      <c r="L8" s="16">
        <f t="shared" si="6"/>
        <v>0.75640919114769822</v>
      </c>
      <c r="M8" s="9">
        <f t="shared" si="7"/>
        <v>11596.427272727273</v>
      </c>
      <c r="N8" s="8">
        <v>7.38</v>
      </c>
      <c r="O8" s="8">
        <v>7.21</v>
      </c>
      <c r="P8" s="8">
        <v>10</v>
      </c>
      <c r="Q8" s="8">
        <v>8.6999999999999993</v>
      </c>
      <c r="R8" s="11">
        <v>0.71</v>
      </c>
      <c r="S8" s="11">
        <v>0.66839999999999999</v>
      </c>
      <c r="T8" s="9">
        <f t="shared" si="8"/>
        <v>8235153.8499999996</v>
      </c>
      <c r="U8" s="9">
        <f t="shared" si="9"/>
        <v>10887167.879999999</v>
      </c>
      <c r="V8" s="8">
        <v>27</v>
      </c>
      <c r="W8" s="8">
        <v>17</v>
      </c>
      <c r="X8" s="8">
        <f t="shared" si="10"/>
        <v>10</v>
      </c>
    </row>
    <row r="9" spans="1:24" x14ac:dyDescent="0.25">
      <c r="A9" s="10" t="s">
        <v>32</v>
      </c>
      <c r="B9" s="9">
        <v>115416</v>
      </c>
      <c r="C9" s="9">
        <v>2907274</v>
      </c>
      <c r="D9" s="9">
        <v>1913077</v>
      </c>
      <c r="E9" s="9">
        <f t="shared" si="0"/>
        <v>994197</v>
      </c>
      <c r="F9" s="9">
        <f t="shared" si="1"/>
        <v>1830505.8518518519</v>
      </c>
      <c r="G9" s="9">
        <f t="shared" si="2"/>
        <v>-82571.148148148088</v>
      </c>
      <c r="H9" s="9">
        <f t="shared" si="3"/>
        <v>100873.90909090909</v>
      </c>
      <c r="I9" s="9">
        <f t="shared" si="4"/>
        <v>658706.62636363634</v>
      </c>
      <c r="J9" s="9">
        <f t="shared" si="5"/>
        <v>694804.32</v>
      </c>
      <c r="K9" s="9">
        <v>123190</v>
      </c>
      <c r="L9" s="16">
        <f t="shared" si="6"/>
        <v>0.96348429246707967</v>
      </c>
      <c r="M9" s="9">
        <f t="shared" si="7"/>
        <v>10087.390909090909</v>
      </c>
      <c r="N9" s="8">
        <v>6.53</v>
      </c>
      <c r="O9" s="8">
        <v>6.02</v>
      </c>
      <c r="P9" s="8">
        <v>10</v>
      </c>
      <c r="Q9" s="8">
        <v>11.92</v>
      </c>
      <c r="R9" s="11">
        <v>0.68</v>
      </c>
      <c r="S9" s="11">
        <v>0.70389999999999997</v>
      </c>
      <c r="T9" s="9">
        <f t="shared" si="8"/>
        <v>11516723.539999999</v>
      </c>
      <c r="U9" s="9">
        <f t="shared" si="9"/>
        <v>11953203.212592594</v>
      </c>
      <c r="V9" s="8">
        <v>27</v>
      </c>
      <c r="W9" s="8">
        <v>17</v>
      </c>
      <c r="X9" s="8">
        <f t="shared" si="10"/>
        <v>10</v>
      </c>
    </row>
    <row r="10" spans="1:24" ht="14.25" customHeight="1" x14ac:dyDescent="0.25">
      <c r="A10" s="10" t="s">
        <v>33</v>
      </c>
      <c r="B10" s="9">
        <v>143416</v>
      </c>
      <c r="C10" s="9">
        <v>3971692</v>
      </c>
      <c r="D10" s="9">
        <v>2343716</v>
      </c>
      <c r="E10" s="9">
        <f t="shared" si="0"/>
        <v>1627976</v>
      </c>
      <c r="F10" s="9">
        <f t="shared" si="1"/>
        <v>2500694.9629629632</v>
      </c>
      <c r="G10" s="9">
        <f t="shared" si="2"/>
        <v>156978.96296296315</v>
      </c>
      <c r="H10" s="9">
        <f t="shared" si="3"/>
        <v>161035.63636363635</v>
      </c>
      <c r="I10" s="9">
        <f t="shared" si="4"/>
        <v>1272181.5272727273</v>
      </c>
      <c r="J10" s="9">
        <f t="shared" si="5"/>
        <v>1052673.44</v>
      </c>
      <c r="K10" s="9">
        <v>157995</v>
      </c>
      <c r="L10" s="16">
        <f t="shared" si="6"/>
        <v>0.8707896012395433</v>
      </c>
      <c r="M10" s="9">
        <f t="shared" si="7"/>
        <v>16103.563636363635</v>
      </c>
      <c r="N10" s="8">
        <v>7.9</v>
      </c>
      <c r="O10" s="8">
        <v>7.34</v>
      </c>
      <c r="P10" s="8">
        <v>10</v>
      </c>
      <c r="Q10" s="8">
        <v>10.029999999999999</v>
      </c>
      <c r="R10" s="11">
        <v>0.68</v>
      </c>
      <c r="S10" s="11">
        <v>0.69010000000000005</v>
      </c>
      <c r="T10" s="9">
        <f t="shared" si="8"/>
        <v>17202875.440000001</v>
      </c>
      <c r="U10" s="9">
        <f t="shared" si="9"/>
        <v>19755490.207407411</v>
      </c>
      <c r="V10" s="8">
        <v>27</v>
      </c>
      <c r="W10" s="8">
        <v>17</v>
      </c>
      <c r="X10" s="8">
        <f t="shared" si="10"/>
        <v>10</v>
      </c>
    </row>
    <row r="11" spans="1:24" ht="14.25" customHeight="1" thickBot="1" x14ac:dyDescent="0.3">
      <c r="A11" s="21" t="s">
        <v>34</v>
      </c>
      <c r="B11" s="22">
        <v>25722</v>
      </c>
      <c r="C11" s="22">
        <v>0</v>
      </c>
      <c r="D11" s="22">
        <v>637209</v>
      </c>
      <c r="E11" s="9">
        <f t="shared" si="0"/>
        <v>-637209</v>
      </c>
      <c r="F11" s="9">
        <f t="shared" si="1"/>
        <v>0</v>
      </c>
      <c r="G11" s="9">
        <f t="shared" si="2"/>
        <v>-637209</v>
      </c>
      <c r="H11" s="9">
        <f t="shared" si="3"/>
        <v>-55589.727272727272</v>
      </c>
      <c r="I11" s="9">
        <f t="shared" si="4"/>
        <v>0</v>
      </c>
      <c r="J11" s="9">
        <f t="shared" si="5"/>
        <v>122179.5</v>
      </c>
      <c r="K11" s="9">
        <v>42392</v>
      </c>
      <c r="L11" s="16" t="e">
        <f t="shared" si="6"/>
        <v>#DIV/0!</v>
      </c>
      <c r="M11" s="9">
        <f t="shared" si="7"/>
        <v>-5558.9727272727268</v>
      </c>
      <c r="N11" s="18">
        <v>0</v>
      </c>
      <c r="O11" s="18">
        <v>4.75</v>
      </c>
      <c r="P11" s="18">
        <v>10</v>
      </c>
      <c r="Q11" s="18">
        <v>10.41</v>
      </c>
      <c r="R11" s="19">
        <v>0.63</v>
      </c>
      <c r="S11" s="19">
        <v>0.42980000000000002</v>
      </c>
      <c r="T11" s="9">
        <f t="shared" si="8"/>
        <v>3026742.75</v>
      </c>
      <c r="U11" s="9">
        <f t="shared" si="9"/>
        <v>0</v>
      </c>
      <c r="V11" s="18">
        <v>27</v>
      </c>
      <c r="W11" s="18">
        <v>17</v>
      </c>
      <c r="X11" s="8">
        <f t="shared" si="10"/>
        <v>10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593657</v>
      </c>
      <c r="C12" s="7">
        <f t="shared" si="11"/>
        <v>16423830</v>
      </c>
      <c r="D12" s="7">
        <f t="shared" si="11"/>
        <v>10005179</v>
      </c>
      <c r="E12" s="7">
        <f t="shared" si="11"/>
        <v>6418651</v>
      </c>
      <c r="F12" s="7">
        <f t="shared" si="11"/>
        <v>10340930</v>
      </c>
      <c r="G12" s="7">
        <f t="shared" si="11"/>
        <v>335751.00000000035</v>
      </c>
      <c r="H12" s="7">
        <f t="shared" si="3"/>
        <v>637482.54545454541</v>
      </c>
      <c r="I12" s="7">
        <f t="shared" si="4"/>
        <v>4704621.1854545446</v>
      </c>
      <c r="J12" s="7">
        <f t="shared" si="5"/>
        <v>3858770.5</v>
      </c>
      <c r="K12" s="7">
        <f>SUM(K4:K11)</f>
        <v>647818</v>
      </c>
      <c r="L12" s="12">
        <f t="shared" si="6"/>
        <v>0.85216218712874536</v>
      </c>
      <c r="M12" s="7">
        <f t="shared" si="7"/>
        <v>63748.25454545454</v>
      </c>
      <c r="N12" s="6">
        <v>7.38</v>
      </c>
      <c r="O12" s="6">
        <f>AVERAGE(O4:O11)</f>
        <v>6.5</v>
      </c>
      <c r="P12" s="6">
        <v>10</v>
      </c>
      <c r="Q12" s="6">
        <f>AVERAGE(Q4:Q11)</f>
        <v>10.44875</v>
      </c>
      <c r="R12" s="12">
        <v>0.68630000000000002</v>
      </c>
      <c r="S12" s="12">
        <f>AVERAGE(S4:S11)</f>
        <v>0.65985000000000005</v>
      </c>
      <c r="T12" s="7">
        <f t="shared" si="8"/>
        <v>65033663.5</v>
      </c>
      <c r="U12" s="7">
        <f t="shared" si="9"/>
        <v>76316063.400000006</v>
      </c>
      <c r="V12" s="6">
        <v>27</v>
      </c>
      <c r="W12" s="6">
        <v>17</v>
      </c>
      <c r="X12" s="6">
        <f t="shared" si="10"/>
        <v>10</v>
      </c>
    </row>
    <row r="13" spans="1:24" ht="15.75" customHeight="1" thickTop="1" x14ac:dyDescent="0.25">
      <c r="A13" s="10" t="s">
        <v>36</v>
      </c>
      <c r="B13" s="9">
        <v>139770</v>
      </c>
      <c r="C13" s="9">
        <v>3336726</v>
      </c>
      <c r="D13" s="9">
        <v>2192772</v>
      </c>
      <c r="E13" s="9">
        <f>C13-D13</f>
        <v>1143954</v>
      </c>
      <c r="F13" s="9">
        <f>C13*W13/V13</f>
        <v>2100901.5555555555</v>
      </c>
      <c r="G13" s="9">
        <f>F13-D13</f>
        <v>-91870.444444444496</v>
      </c>
      <c r="H13" s="9">
        <f t="shared" si="3"/>
        <v>116702.18181818182</v>
      </c>
      <c r="I13" s="9">
        <f t="shared" si="4"/>
        <v>488982.1418181819</v>
      </c>
      <c r="J13" s="9">
        <f t="shared" si="5"/>
        <v>536716.79999999993</v>
      </c>
      <c r="K13" s="9">
        <v>124475</v>
      </c>
      <c r="L13" s="16">
        <f t="shared" si="6"/>
        <v>0.95654405248738505</v>
      </c>
      <c r="M13" s="9">
        <f t="shared" si="7"/>
        <v>11577.597402597403</v>
      </c>
      <c r="N13" s="8">
        <v>4.1900000000000004</v>
      </c>
      <c r="O13" s="8">
        <v>3.84</v>
      </c>
      <c r="P13" s="8">
        <v>10.08</v>
      </c>
      <c r="Q13" s="8">
        <v>10.19</v>
      </c>
      <c r="R13" s="11">
        <v>0.79</v>
      </c>
      <c r="S13" s="11">
        <v>0.75049999999999994</v>
      </c>
      <c r="T13" s="9">
        <f t="shared" si="8"/>
        <v>8420244.4800000004</v>
      </c>
      <c r="U13" s="9">
        <f t="shared" si="9"/>
        <v>8802777.5177777782</v>
      </c>
      <c r="V13" s="8">
        <v>27</v>
      </c>
      <c r="W13" s="8">
        <v>17</v>
      </c>
      <c r="X13" s="8">
        <f t="shared" si="10"/>
        <v>10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10005179</v>
      </c>
      <c r="C18" s="13">
        <f>QUOTIENT(B12,10000)*10000</f>
        <v>590000</v>
      </c>
      <c r="D18" s="13">
        <f t="shared" ref="D18:D23" si="12">C18*$X$12</f>
        <v>5900000</v>
      </c>
      <c r="E18" s="13">
        <f t="shared" ref="E18:E23" si="13">$D$12+D18</f>
        <v>15905179</v>
      </c>
      <c r="F18" s="13">
        <f t="shared" ref="F18:F23" si="14">$C$12-E18</f>
        <v>518651</v>
      </c>
      <c r="M18" s="1"/>
    </row>
    <row r="19" spans="1:13" x14ac:dyDescent="0.25">
      <c r="A19" s="15" t="s">
        <v>44</v>
      </c>
      <c r="B19" s="14"/>
      <c r="C19" s="13">
        <f>C18+35000</f>
        <v>625000</v>
      </c>
      <c r="D19" s="13">
        <f t="shared" si="12"/>
        <v>6250000</v>
      </c>
      <c r="E19" s="13">
        <f t="shared" si="13"/>
        <v>16255179</v>
      </c>
      <c r="F19" s="13">
        <f t="shared" si="14"/>
        <v>168651</v>
      </c>
      <c r="M19" s="1"/>
    </row>
    <row r="20" spans="1:13" x14ac:dyDescent="0.25">
      <c r="A20" s="15" t="s">
        <v>44</v>
      </c>
      <c r="B20" s="14"/>
      <c r="C20" s="13">
        <f>C19+35000</f>
        <v>660000</v>
      </c>
      <c r="D20" s="13">
        <f t="shared" si="12"/>
        <v>6600000</v>
      </c>
      <c r="E20" s="13">
        <f t="shared" si="13"/>
        <v>16605179</v>
      </c>
      <c r="F20" s="13">
        <f t="shared" si="14"/>
        <v>-181349</v>
      </c>
    </row>
    <row r="21" spans="1:13" x14ac:dyDescent="0.25">
      <c r="A21" s="15" t="s">
        <v>44</v>
      </c>
      <c r="B21" s="14"/>
      <c r="C21" s="13">
        <f>C20+35000</f>
        <v>695000</v>
      </c>
      <c r="D21" s="13">
        <f t="shared" si="12"/>
        <v>6950000</v>
      </c>
      <c r="E21" s="13">
        <f t="shared" si="13"/>
        <v>16955179</v>
      </c>
      <c r="F21" s="13">
        <f t="shared" si="14"/>
        <v>-531349</v>
      </c>
    </row>
    <row r="22" spans="1:13" x14ac:dyDescent="0.25">
      <c r="A22" s="15" t="s">
        <v>44</v>
      </c>
      <c r="B22" s="14"/>
      <c r="C22" s="13">
        <f>C21+35000</f>
        <v>730000</v>
      </c>
      <c r="D22" s="13">
        <f t="shared" si="12"/>
        <v>7300000</v>
      </c>
      <c r="E22" s="13">
        <f t="shared" si="13"/>
        <v>17305179</v>
      </c>
      <c r="F22" s="13">
        <f t="shared" si="14"/>
        <v>-881349</v>
      </c>
    </row>
    <row r="23" spans="1:13" x14ac:dyDescent="0.25">
      <c r="A23" s="15" t="s">
        <v>44</v>
      </c>
      <c r="B23" s="14"/>
      <c r="C23" s="13">
        <f>C22+35000</f>
        <v>765000</v>
      </c>
      <c r="D23" s="13">
        <f t="shared" si="12"/>
        <v>7650000</v>
      </c>
      <c r="E23" s="13">
        <f t="shared" si="13"/>
        <v>17655179</v>
      </c>
      <c r="F23" s="13">
        <f t="shared" si="14"/>
        <v>-1231349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2025-12-21T08:26:36Z</dcterms:modified>
</cp:coreProperties>
</file>