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2B48F8C5-3378-4EE4-BDB1-BB13FF276C79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1" l="1"/>
  <c r="X13" i="1"/>
  <c r="T13" i="1"/>
  <c r="J13" i="1"/>
  <c r="F13" i="1"/>
  <c r="G13" i="1" s="1"/>
  <c r="E13" i="1"/>
  <c r="H13" i="1" s="1"/>
  <c r="S12" i="1"/>
  <c r="Q12" i="1"/>
  <c r="O12" i="1"/>
  <c r="T12" i="1" s="1"/>
  <c r="K12" i="1"/>
  <c r="D12" i="1"/>
  <c r="B18" i="1" s="1"/>
  <c r="C12" i="1"/>
  <c r="B12" i="1"/>
  <c r="C18" i="1" s="1"/>
  <c r="X11" i="1"/>
  <c r="H11" i="1" s="1"/>
  <c r="I11" i="1" s="1"/>
  <c r="T11" i="1"/>
  <c r="J11" i="1"/>
  <c r="F11" i="1"/>
  <c r="G11" i="1" s="1"/>
  <c r="E11" i="1"/>
  <c r="X10" i="1"/>
  <c r="T10" i="1"/>
  <c r="J10" i="1"/>
  <c r="F10" i="1"/>
  <c r="U10" i="1" s="1"/>
  <c r="E10" i="1"/>
  <c r="X9" i="1"/>
  <c r="H9" i="1" s="1"/>
  <c r="I9" i="1" s="1"/>
  <c r="T9" i="1"/>
  <c r="J9" i="1"/>
  <c r="F9" i="1"/>
  <c r="G9" i="1" s="1"/>
  <c r="E9" i="1"/>
  <c r="X8" i="1"/>
  <c r="T8" i="1"/>
  <c r="J8" i="1"/>
  <c r="F8" i="1"/>
  <c r="U8" i="1" s="1"/>
  <c r="L8" i="1" s="1"/>
  <c r="E8" i="1"/>
  <c r="X7" i="1"/>
  <c r="T7" i="1"/>
  <c r="J7" i="1"/>
  <c r="H7" i="1"/>
  <c r="I7" i="1" s="1"/>
  <c r="F7" i="1"/>
  <c r="G7" i="1" s="1"/>
  <c r="E7" i="1"/>
  <c r="X6" i="1"/>
  <c r="T6" i="1"/>
  <c r="J6" i="1"/>
  <c r="F6" i="1"/>
  <c r="U6" i="1" s="1"/>
  <c r="E6" i="1"/>
  <c r="X5" i="1"/>
  <c r="H5" i="1" s="1"/>
  <c r="I5" i="1" s="1"/>
  <c r="T5" i="1"/>
  <c r="J5" i="1"/>
  <c r="F5" i="1"/>
  <c r="G5" i="1" s="1"/>
  <c r="E5" i="1"/>
  <c r="X4" i="1"/>
  <c r="T4" i="1"/>
  <c r="J4" i="1"/>
  <c r="F4" i="1"/>
  <c r="U4" i="1" s="1"/>
  <c r="E4" i="1"/>
  <c r="E12" i="1" s="1"/>
  <c r="H12" i="1" l="1"/>
  <c r="I12" i="1" s="1"/>
  <c r="G6" i="1"/>
  <c r="G8" i="1"/>
  <c r="G10" i="1"/>
  <c r="H6" i="1"/>
  <c r="I6" i="1" s="1"/>
  <c r="H8" i="1"/>
  <c r="M8" i="1" s="1"/>
  <c r="H10" i="1"/>
  <c r="G4" i="1"/>
  <c r="G12" i="1" s="1"/>
  <c r="M12" i="1"/>
  <c r="L4" i="1"/>
  <c r="M6" i="1"/>
  <c r="L6" i="1"/>
  <c r="I8" i="1"/>
  <c r="I10" i="1"/>
  <c r="M10" i="1"/>
  <c r="L10" i="1"/>
  <c r="D18" i="1"/>
  <c r="C19" i="1"/>
  <c r="I13" i="1"/>
  <c r="M13" i="1"/>
  <c r="U5" i="1"/>
  <c r="L5" i="1" s="1"/>
  <c r="M7" i="1"/>
  <c r="U9" i="1"/>
  <c r="L9" i="1" s="1"/>
  <c r="M11" i="1"/>
  <c r="F12" i="1"/>
  <c r="U12" i="1" s="1"/>
  <c r="L12" i="1" s="1"/>
  <c r="J12" i="1"/>
  <c r="U13" i="1"/>
  <c r="L13" i="1" s="1"/>
  <c r="M5" i="1"/>
  <c r="U7" i="1"/>
  <c r="L7" i="1" s="1"/>
  <c r="M9" i="1"/>
  <c r="U11" i="1"/>
  <c r="L11" i="1" s="1"/>
  <c r="A18" i="1"/>
  <c r="E18" i="1"/>
  <c r="F18" i="1" s="1"/>
  <c r="H4" i="1"/>
  <c r="D19" i="1" l="1"/>
  <c r="E19" i="1" s="1"/>
  <c r="F19" i="1" s="1"/>
  <c r="C20" i="1"/>
  <c r="M4" i="1"/>
  <c r="I4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<sst xmlns="http://schemas.openxmlformats.org/spreadsheetml/2006/main" count="49" uniqueCount="45">
  <si>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</si>
  <si>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</si>
  <si>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28-Dec-25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</si>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</sst>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W4" sqref="W4:W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89114</v>
      </c>
      <c r="C4" s="9">
        <v>2724653</v>
      </c>
      <c r="D4" s="9">
        <v>2234376</v>
      </c>
      <c r="E4" s="9">
        <f t="shared" ref="E4:E11" si="0">C4-D4</f>
        <v>490277</v>
      </c>
      <c r="F4" s="9">
        <f t="shared" ref="F4:F11" si="1">C4*W4/V4</f>
        <v>2421913.777777778</v>
      </c>
      <c r="G4" s="9">
        <f t="shared" ref="G4:G11" si="2">F4-D4</f>
        <v>187537.77777777798</v>
      </c>
      <c r="H4" s="9">
        <f t="shared" ref="H4:H13" si="3">(E4+B4)/(X4+1)</f>
        <v>144847.75</v>
      </c>
      <c r="I4" s="9">
        <f t="shared" ref="I4:I13" si="4">H4*N4</f>
        <v>1021176.6375</v>
      </c>
      <c r="J4" s="9">
        <f t="shared" ref="J4:J13" si="5">B4*O4</f>
        <v>622015.72000000009</v>
      </c>
      <c r="K4" s="9">
        <v>87102</v>
      </c>
      <c r="L4" s="16">
        <f t="shared" ref="L4:L13" si="6">T4/U4</f>
        <v>0.91340605379138229</v>
      </c>
      <c r="M4" s="9">
        <f t="shared" ref="M4:M13" si="7">H4/P4</f>
        <v>14484.775</v>
      </c>
      <c r="N4" s="8">
        <v>7.05</v>
      </c>
      <c r="O4" s="8">
        <v>6.98</v>
      </c>
      <c r="P4" s="8">
        <v>10</v>
      </c>
      <c r="Q4" s="8">
        <v>10.84</v>
      </c>
      <c r="R4" s="11">
        <v>0.7</v>
      </c>
      <c r="S4" s="11">
        <v>0.72250000000000003</v>
      </c>
      <c r="T4" s="9">
        <f t="shared" ref="T4:T13" si="8">O4*D4</f>
        <v>15595944.48</v>
      </c>
      <c r="U4" s="9">
        <f t="shared" ref="U4:U13" si="9">N4*F4</f>
        <v>17074492.133333333</v>
      </c>
      <c r="V4" s="8">
        <v>27</v>
      </c>
      <c r="W4" s="8">
        <v>24</v>
      </c>
      <c r="X4" s="8">
        <f t="shared" ref="X4:X13" si="10">V4-W4</f>
        <v>3</v>
      </c>
    </row>
    <row r="5" spans="1:24" x14ac:dyDescent="0.25">
      <c r="A5" s="10" t="s">
        <v>28</v>
      </c>
      <c r="B5" s="9">
        <v>10080</v>
      </c>
      <c r="C5" s="9">
        <v>350940</v>
      </c>
      <c r="D5" s="9">
        <v>317305</v>
      </c>
      <c r="E5" s="9">
        <f t="shared" si="0"/>
        <v>33635</v>
      </c>
      <c r="F5" s="9">
        <f t="shared" si="1"/>
        <v>311946.66666666669</v>
      </c>
      <c r="G5" s="9">
        <f t="shared" si="2"/>
        <v>-5358.3333333333139</v>
      </c>
      <c r="H5" s="9">
        <f t="shared" si="3"/>
        <v>10928.75</v>
      </c>
      <c r="I5" s="9">
        <f t="shared" si="4"/>
        <v>77047.6875</v>
      </c>
      <c r="J5" s="9">
        <f t="shared" si="5"/>
        <v>57556.800000000003</v>
      </c>
      <c r="K5" s="9">
        <v>7910</v>
      </c>
      <c r="L5" s="16">
        <f t="shared" si="6"/>
        <v>0.82384129583889587</v>
      </c>
      <c r="M5" s="17">
        <f t="shared" si="7"/>
        <v>1092.875</v>
      </c>
      <c r="N5" s="8">
        <v>7.05</v>
      </c>
      <c r="O5" s="8">
        <v>5.71</v>
      </c>
      <c r="P5" s="8">
        <v>10</v>
      </c>
      <c r="Q5" s="8">
        <v>10.93</v>
      </c>
      <c r="R5" s="11">
        <v>0.7</v>
      </c>
      <c r="S5" s="11">
        <v>0.75180000000000002</v>
      </c>
      <c r="T5" s="9">
        <f t="shared" si="8"/>
        <v>1811811.55</v>
      </c>
      <c r="U5" s="9">
        <f t="shared" si="9"/>
        <v>2199224</v>
      </c>
      <c r="V5" s="8">
        <v>27</v>
      </c>
      <c r="W5" s="8">
        <v>24</v>
      </c>
      <c r="X5" s="8">
        <f t="shared" si="10"/>
        <v>3</v>
      </c>
    </row>
    <row r="6" spans="1:24" x14ac:dyDescent="0.25">
      <c r="A6" s="10" t="s">
        <v>29</v>
      </c>
      <c r="B6" s="9">
        <v>42687</v>
      </c>
      <c r="C6" s="9">
        <v>1530868</v>
      </c>
      <c r="D6" s="9">
        <v>1133796</v>
      </c>
      <c r="E6" s="9">
        <f t="shared" si="0"/>
        <v>397072</v>
      </c>
      <c r="F6" s="9">
        <f t="shared" si="1"/>
        <v>1360771.5555555555</v>
      </c>
      <c r="G6" s="9">
        <f t="shared" si="2"/>
        <v>226975.5555555555</v>
      </c>
      <c r="H6" s="9">
        <f t="shared" si="3"/>
        <v>109939.75</v>
      </c>
      <c r="I6" s="9">
        <f t="shared" si="4"/>
        <v>745391.505</v>
      </c>
      <c r="J6" s="9">
        <f t="shared" si="5"/>
        <v>253560.78000000003</v>
      </c>
      <c r="K6" s="9">
        <v>42188</v>
      </c>
      <c r="L6" s="16">
        <f t="shared" si="6"/>
        <v>0.72997241532543944</v>
      </c>
      <c r="M6" s="9">
        <f t="shared" si="7"/>
        <v>9994.5227272727279</v>
      </c>
      <c r="N6" s="8">
        <v>6.78</v>
      </c>
      <c r="O6" s="8">
        <v>5.94</v>
      </c>
      <c r="P6" s="8">
        <v>11</v>
      </c>
      <c r="Q6" s="8">
        <v>10.210000000000001</v>
      </c>
      <c r="R6" s="11">
        <v>0.74</v>
      </c>
      <c r="S6" s="11">
        <v>0.68680000000000008</v>
      </c>
      <c r="T6" s="9">
        <f t="shared" si="8"/>
        <v>6734748.2400000002</v>
      </c>
      <c r="U6" s="9">
        <f t="shared" si="9"/>
        <v>9226031.1466666665</v>
      </c>
      <c r="V6" s="8">
        <v>27</v>
      </c>
      <c r="W6" s="8">
        <v>24</v>
      </c>
      <c r="X6" s="8">
        <f t="shared" si="10"/>
        <v>3</v>
      </c>
    </row>
    <row r="7" spans="1:24" x14ac:dyDescent="0.25">
      <c r="A7" s="10" t="s">
        <v>30</v>
      </c>
      <c r="B7" s="9">
        <v>97665</v>
      </c>
      <c r="C7" s="9">
        <v>2684219</v>
      </c>
      <c r="D7" s="9">
        <v>1935076</v>
      </c>
      <c r="E7" s="9">
        <f t="shared" si="0"/>
        <v>749143</v>
      </c>
      <c r="F7" s="9">
        <f t="shared" si="1"/>
        <v>2385972.4444444445</v>
      </c>
      <c r="G7" s="9">
        <f t="shared" si="2"/>
        <v>450896.4444444445</v>
      </c>
      <c r="H7" s="9">
        <f t="shared" si="3"/>
        <v>211702</v>
      </c>
      <c r="I7" s="9">
        <f t="shared" si="4"/>
        <v>1780413.82</v>
      </c>
      <c r="J7" s="9">
        <f t="shared" si="5"/>
        <v>753973.79999999993</v>
      </c>
      <c r="K7" s="9">
        <v>103312</v>
      </c>
      <c r="L7" s="16">
        <f t="shared" si="6"/>
        <v>0.74448149519621976</v>
      </c>
      <c r="M7" s="9">
        <f t="shared" si="7"/>
        <v>21170.2</v>
      </c>
      <c r="N7" s="8">
        <v>8.41</v>
      </c>
      <c r="O7" s="8">
        <v>7.72</v>
      </c>
      <c r="P7" s="8">
        <v>10</v>
      </c>
      <c r="Q7" s="8">
        <v>10.1</v>
      </c>
      <c r="R7" s="11">
        <v>0.63</v>
      </c>
      <c r="S7" s="11">
        <v>0.61080000000000001</v>
      </c>
      <c r="T7" s="9">
        <f t="shared" si="8"/>
        <v>14938786.719999999</v>
      </c>
      <c r="U7" s="9">
        <f t="shared" si="9"/>
        <v>20066028.25777778</v>
      </c>
      <c r="V7" s="8">
        <v>27</v>
      </c>
      <c r="W7" s="8">
        <v>24</v>
      </c>
      <c r="X7" s="8">
        <f t="shared" si="10"/>
        <v>3</v>
      </c>
    </row>
    <row r="8" spans="1:24" x14ac:dyDescent="0.25">
      <c r="A8" s="10" t="s">
        <v>31</v>
      </c>
      <c r="B8" s="9">
        <v>76383</v>
      </c>
      <c r="C8" s="9">
        <v>2343006</v>
      </c>
      <c r="D8" s="9">
        <v>1663098</v>
      </c>
      <c r="E8" s="9">
        <f t="shared" si="0"/>
        <v>679908</v>
      </c>
      <c r="F8" s="9">
        <f t="shared" si="1"/>
        <v>2082672</v>
      </c>
      <c r="G8" s="9">
        <f t="shared" si="2"/>
        <v>419574</v>
      </c>
      <c r="H8" s="9">
        <f t="shared" si="3"/>
        <v>189072.75</v>
      </c>
      <c r="I8" s="9">
        <f t="shared" si="4"/>
        <v>1395356.895</v>
      </c>
      <c r="J8" s="9">
        <f t="shared" si="5"/>
        <v>537736.31999999995</v>
      </c>
      <c r="K8" s="9">
        <v>84320</v>
      </c>
      <c r="L8" s="16">
        <f t="shared" si="6"/>
        <v>0.76175139865667252</v>
      </c>
      <c r="M8" s="9">
        <f t="shared" si="7"/>
        <v>18907.275000000001</v>
      </c>
      <c r="N8" s="8">
        <v>7.38</v>
      </c>
      <c r="O8" s="8">
        <v>7.04</v>
      </c>
      <c r="P8" s="8">
        <v>10</v>
      </c>
      <c r="Q8" s="8">
        <v>8.75</v>
      </c>
      <c r="R8" s="11">
        <v>0.71</v>
      </c>
      <c r="S8" s="11">
        <v>0.67010000000000003</v>
      </c>
      <c r="T8" s="9">
        <f t="shared" si="8"/>
        <v>11708209.92</v>
      </c>
      <c r="U8" s="9">
        <f t="shared" si="9"/>
        <v>15370119.359999999</v>
      </c>
      <c r="V8" s="8">
        <v>27</v>
      </c>
      <c r="W8" s="8">
        <v>24</v>
      </c>
      <c r="X8" s="8">
        <f t="shared" si="10"/>
        <v>3</v>
      </c>
    </row>
    <row r="9" spans="1:24" x14ac:dyDescent="0.25">
      <c r="A9" s="10" t="s">
        <v>32</v>
      </c>
      <c r="B9" s="9">
        <v>105301</v>
      </c>
      <c r="C9" s="9">
        <v>3107863</v>
      </c>
      <c r="D9" s="9">
        <v>2684752</v>
      </c>
      <c r="E9" s="9">
        <f t="shared" si="0"/>
        <v>423111</v>
      </c>
      <c r="F9" s="9">
        <f t="shared" si="1"/>
        <v>2762544.888888889</v>
      </c>
      <c r="G9" s="9">
        <f t="shared" si="2"/>
        <v>77792.888888888992</v>
      </c>
      <c r="H9" s="9">
        <f t="shared" si="3"/>
        <v>132103</v>
      </c>
      <c r="I9" s="9">
        <f t="shared" si="4"/>
        <v>862632.59000000008</v>
      </c>
      <c r="J9" s="9">
        <f t="shared" si="5"/>
        <v>654972.22</v>
      </c>
      <c r="K9" s="9">
        <v>120818</v>
      </c>
      <c r="L9" s="16">
        <f t="shared" si="6"/>
        <v>0.92570377407970172</v>
      </c>
      <c r="M9" s="9">
        <f t="shared" si="7"/>
        <v>13210.3</v>
      </c>
      <c r="N9" s="8">
        <v>6.53</v>
      </c>
      <c r="O9" s="8">
        <v>6.22</v>
      </c>
      <c r="P9" s="8">
        <v>10</v>
      </c>
      <c r="Q9" s="8">
        <v>12.32</v>
      </c>
      <c r="R9" s="11">
        <v>0.68</v>
      </c>
      <c r="S9" s="11">
        <v>0.68840000000000001</v>
      </c>
      <c r="T9" s="9">
        <f t="shared" si="8"/>
        <v>16699157.439999999</v>
      </c>
      <c r="U9" s="9">
        <f t="shared" si="9"/>
        <v>18039418.124444447</v>
      </c>
      <c r="V9" s="8">
        <v>27</v>
      </c>
      <c r="W9" s="8">
        <v>24</v>
      </c>
      <c r="X9" s="8">
        <f t="shared" si="10"/>
        <v>3</v>
      </c>
    </row>
    <row r="10" spans="1:24" ht="14.25" customHeight="1" x14ac:dyDescent="0.25">
      <c r="A10" s="10" t="s">
        <v>33</v>
      </c>
      <c r="B10" s="9">
        <v>120328</v>
      </c>
      <c r="C10" s="9">
        <v>4032281</v>
      </c>
      <c r="D10" s="9">
        <v>3330223</v>
      </c>
      <c r="E10" s="9">
        <f t="shared" si="0"/>
        <v>702058</v>
      </c>
      <c r="F10" s="9">
        <f t="shared" si="1"/>
        <v>3584249.777777778</v>
      </c>
      <c r="G10" s="9">
        <f t="shared" si="2"/>
        <v>254026.77777777798</v>
      </c>
      <c r="H10" s="9">
        <f t="shared" si="3"/>
        <v>205596.5</v>
      </c>
      <c r="I10" s="9">
        <f t="shared" si="4"/>
        <v>1624212.35</v>
      </c>
      <c r="J10" s="9">
        <f t="shared" si="5"/>
        <v>912086.24</v>
      </c>
      <c r="K10" s="9">
        <v>131836</v>
      </c>
      <c r="L10" s="16">
        <f t="shared" si="6"/>
        <v>0.89149141082470318</v>
      </c>
      <c r="M10" s="9">
        <f t="shared" si="7"/>
        <v>20559.650000000001</v>
      </c>
      <c r="N10" s="8">
        <v>7.9</v>
      </c>
      <c r="O10" s="8">
        <v>7.58</v>
      </c>
      <c r="P10" s="8">
        <v>10</v>
      </c>
      <c r="Q10" s="8">
        <v>10.36</v>
      </c>
      <c r="R10" s="11">
        <v>0.68</v>
      </c>
      <c r="S10" s="11">
        <v>0.68359999999999999</v>
      </c>
      <c r="T10" s="9">
        <f t="shared" si="8"/>
        <v>25243090.34</v>
      </c>
      <c r="U10" s="9">
        <f t="shared" si="9"/>
        <v>28315573.244444449</v>
      </c>
      <c r="V10" s="8">
        <v>27</v>
      </c>
      <c r="W10" s="8">
        <v>24</v>
      </c>
      <c r="X10" s="8">
        <f t="shared" si="10"/>
        <v>3</v>
      </c>
    </row>
    <row r="11" spans="1:24" ht="14.25" customHeight="1" thickBot="1" x14ac:dyDescent="0.3">
      <c r="A11" s="21" t="s">
        <v>34</v>
      </c>
      <c r="B11" s="22">
        <v>12365</v>
      </c>
      <c r="C11" s="22">
        <v>0</v>
      </c>
      <c r="D11" s="22">
        <v>745227</v>
      </c>
      <c r="E11" s="9">
        <f t="shared" si="0"/>
        <v>-745227</v>
      </c>
      <c r="F11" s="9">
        <f t="shared" si="1"/>
        <v>0</v>
      </c>
      <c r="G11" s="9">
        <f t="shared" si="2"/>
        <v>-745227</v>
      </c>
      <c r="H11" s="9">
        <f t="shared" si="3"/>
        <v>-183215.5</v>
      </c>
      <c r="I11" s="9">
        <f t="shared" si="4"/>
        <v>0</v>
      </c>
      <c r="J11" s="9">
        <f t="shared" si="5"/>
        <v>58115.5</v>
      </c>
      <c r="K11" s="9">
        <v>19243</v>
      </c>
      <c r="L11" s="16" t="e">
        <f t="shared" si="6"/>
        <v>#DIV/0!</v>
      </c>
      <c r="M11" s="9">
        <f t="shared" si="7"/>
        <v>-18321.55</v>
      </c>
      <c r="N11" s="18">
        <v>0</v>
      </c>
      <c r="O11" s="18">
        <v>4.7</v>
      </c>
      <c r="P11" s="18">
        <v>10</v>
      </c>
      <c r="Q11" s="18">
        <v>10.09</v>
      </c>
      <c r="R11" s="19">
        <v>0.63</v>
      </c>
      <c r="S11" s="19">
        <v>0.36299999999999999</v>
      </c>
      <c r="T11" s="9">
        <f t="shared" si="8"/>
        <v>3502566.9</v>
      </c>
      <c r="U11" s="9">
        <f t="shared" si="9"/>
        <v>0</v>
      </c>
      <c r="V11" s="18">
        <v>27</v>
      </c>
      <c r="W11" s="18">
        <v>24</v>
      </c>
      <c r="X11" s="8">
        <f t="shared" si="10"/>
        <v>3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553923</v>
      </c>
      <c r="C12" s="7">
        <f t="shared" si="11"/>
        <v>16773830</v>
      </c>
      <c r="D12" s="7">
        <f t="shared" si="11"/>
        <v>14043853</v>
      </c>
      <c r="E12" s="7">
        <f t="shared" si="11"/>
        <v>2729977</v>
      </c>
      <c r="F12" s="7">
        <f t="shared" si="11"/>
        <v>14910071.11111111</v>
      </c>
      <c r="G12" s="7">
        <f t="shared" si="11"/>
        <v>866218.11111111171</v>
      </c>
      <c r="H12" s="7">
        <f t="shared" si="3"/>
        <v>820975</v>
      </c>
      <c r="I12" s="7">
        <f t="shared" si="4"/>
        <v>6058795.5</v>
      </c>
      <c r="J12" s="7">
        <f t="shared" si="5"/>
        <v>3592883.0587499999</v>
      </c>
      <c r="K12" s="7">
        <f>SUM(K4:K11)</f>
        <v>596729</v>
      </c>
      <c r="L12" s="12">
        <f t="shared" si="6"/>
        <v>0.82783518703316417</v>
      </c>
      <c r="M12" s="7">
        <f t="shared" si="7"/>
        <v>82097.5</v>
      </c>
      <c r="N12" s="6">
        <v>7.38</v>
      </c>
      <c r="O12" s="6">
        <f>AVERAGE(O4:O11)</f>
        <v>6.4862500000000001</v>
      </c>
      <c r="P12" s="6">
        <v>10</v>
      </c>
      <c r="Q12" s="6">
        <f>AVERAGE(Q4:Q11)</f>
        <v>10.45</v>
      </c>
      <c r="R12" s="12">
        <v>0.68630000000000002</v>
      </c>
      <c r="S12" s="12">
        <f>AVERAGE(S4:S11)</f>
        <v>0.64712500000000017</v>
      </c>
      <c r="T12" s="7">
        <f t="shared" si="8"/>
        <v>91091941.521249995</v>
      </c>
      <c r="U12" s="7">
        <f t="shared" si="9"/>
        <v>110036324.8</v>
      </c>
      <c r="V12" s="6">
        <v>27</v>
      </c>
      <c r="W12" s="6">
        <v>24</v>
      </c>
      <c r="X12" s="6">
        <f t="shared" si="10"/>
        <v>3</v>
      </c>
    </row>
    <row r="13" spans="1:24" ht="15.75" customHeight="1" thickTop="1" x14ac:dyDescent="0.25">
      <c r="A13" s="10" t="s">
        <v>36</v>
      </c>
      <c r="B13" s="9">
        <v>125830</v>
      </c>
      <c r="C13" s="9">
        <v>3336726</v>
      </c>
      <c r="D13" s="9">
        <v>3134947</v>
      </c>
      <c r="E13" s="9">
        <f>C13-D13</f>
        <v>201779</v>
      </c>
      <c r="F13" s="9">
        <f>C13*W13/V13</f>
        <v>2965978.6666666665</v>
      </c>
      <c r="G13" s="9">
        <f>F13-D13</f>
        <v>-168968.33333333349</v>
      </c>
      <c r="H13" s="9">
        <f t="shared" si="3"/>
        <v>81902.25</v>
      </c>
      <c r="I13" s="9">
        <f t="shared" si="4"/>
        <v>343170.42750000005</v>
      </c>
      <c r="J13" s="9">
        <f t="shared" si="5"/>
        <v>483187.19999999995</v>
      </c>
      <c r="K13" s="9">
        <v>124942</v>
      </c>
      <c r="L13" s="16">
        <f t="shared" si="6"/>
        <v>0.96867787726987986</v>
      </c>
      <c r="M13" s="9">
        <f t="shared" si="7"/>
        <v>8125.2232142857147</v>
      </c>
      <c r="N13" s="8">
        <v>4.1900000000000004</v>
      </c>
      <c r="O13" s="8">
        <v>3.84</v>
      </c>
      <c r="P13" s="8">
        <v>10.08</v>
      </c>
      <c r="Q13" s="8">
        <v>10.3</v>
      </c>
      <c r="R13" s="11">
        <v>0.79</v>
      </c>
      <c r="S13" s="11">
        <v>0.74280000000000002</v>
      </c>
      <c r="T13" s="9">
        <f t="shared" si="8"/>
        <v>12038196.48</v>
      </c>
      <c r="U13" s="9">
        <f t="shared" si="9"/>
        <v>12427450.613333333</v>
      </c>
      <c r="V13" s="8">
        <v>27</v>
      </c>
      <c r="W13" s="8">
        <v>24</v>
      </c>
      <c r="X13" s="8">
        <f t="shared" si="10"/>
        <v>3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16773830</v>
      </c>
      <c r="B18" s="13">
        <f>D12</f>
        <v>14043853</v>
      </c>
      <c r="C18" s="13">
        <f>QUOTIENT(B12,10000)*10000</f>
        <v>550000</v>
      </c>
      <c r="D18" s="13">
        <f t="shared" ref="D18:D23" si="12">C18*$X$12</f>
        <v>1650000</v>
      </c>
      <c r="E18" s="13">
        <f t="shared" ref="E18:E23" si="13">$D$12+D18</f>
        <v>15693853</v>
      </c>
      <c r="F18" s="13">
        <f t="shared" ref="F18:F23" si="14">$C$12-E18</f>
        <v>1079977</v>
      </c>
      <c r="M18" s="1"/>
    </row>
    <row r="19" spans="1:13" x14ac:dyDescent="0.25">
      <c r="A19" s="15" t="s">
        <v>44</v>
      </c>
      <c r="B19" s="14"/>
      <c r="C19" s="13">
        <f>C18+35000</f>
        <v>585000</v>
      </c>
      <c r="D19" s="13">
        <f t="shared" si="12"/>
        <v>1755000</v>
      </c>
      <c r="E19" s="13">
        <f t="shared" si="13"/>
        <v>15798853</v>
      </c>
      <c r="F19" s="13">
        <f t="shared" si="14"/>
        <v>974977</v>
      </c>
      <c r="M19" s="1"/>
    </row>
    <row r="20" spans="1:13" x14ac:dyDescent="0.25">
      <c r="A20" s="15" t="s">
        <v>44</v>
      </c>
      <c r="B20" s="14"/>
      <c r="C20" s="13">
        <f>C19+35000</f>
        <v>620000</v>
      </c>
      <c r="D20" s="13">
        <f t="shared" si="12"/>
        <v>1860000</v>
      </c>
      <c r="E20" s="13">
        <f t="shared" si="13"/>
        <v>15903853</v>
      </c>
      <c r="F20" s="13">
        <f t="shared" si="14"/>
        <v>869977</v>
      </c>
    </row>
    <row r="21" spans="1:13" x14ac:dyDescent="0.25">
      <c r="A21" s="15" t="s">
        <v>44</v>
      </c>
      <c r="B21" s="14"/>
      <c r="C21" s="13">
        <f>C20+35000</f>
        <v>655000</v>
      </c>
      <c r="D21" s="13">
        <f t="shared" si="12"/>
        <v>1965000</v>
      </c>
      <c r="E21" s="13">
        <f t="shared" si="13"/>
        <v>16008853</v>
      </c>
      <c r="F21" s="13">
        <f t="shared" si="14"/>
        <v>764977</v>
      </c>
    </row>
    <row r="22" spans="1:13" x14ac:dyDescent="0.25">
      <c r="A22" s="15" t="s">
        <v>44</v>
      </c>
      <c r="B22" s="14"/>
      <c r="C22" s="13">
        <f>C21+35000</f>
        <v>690000</v>
      </c>
      <c r="D22" s="13">
        <f t="shared" si="12"/>
        <v>2070000</v>
      </c>
      <c r="E22" s="13">
        <f t="shared" si="13"/>
        <v>16113853</v>
      </c>
      <c r="F22" s="13">
        <f t="shared" si="14"/>
        <v>659977</v>
      </c>
    </row>
    <row r="23" spans="1:13" x14ac:dyDescent="0.25">
      <c r="A23" s="15" t="s">
        <v>44</v>
      </c>
      <c r="B23" s="14"/>
      <c r="C23" s="13">
        <f>C22+35000</f>
        <v>725000</v>
      </c>
      <c r="D23" s="13">
        <f t="shared" si="12"/>
        <v>2175000</v>
      </c>
      <c r="E23" s="13">
        <f t="shared" si="13"/>
        <v>16218853</v>
      </c>
      <c r="F23" s="13">
        <f t="shared" si="14"/>
        <v>554977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2025-12-29T04:56:20Z</dcterms:modified>
</cp:coreProperties>
</file>