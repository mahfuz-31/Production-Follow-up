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F:\1. Work\1. Daily\Production follow up\12. Dec\"/>
    </mc:Choice>
  </mc:AlternateContent>
  <xr:revisionPtr revIDLastSave="0" documentId="13_ncr:1_{FE268E03-CE7C-4F7F-8A94-85AA65DB9E8B}" xr6:coauthVersionLast="47" xr6:coauthVersionMax="47" xr10:uidLastSave="{00000000-0000-0000-0000-000000000000}"/>
  <bookViews>
    <workbookView xWindow="810" yWindow="-120" windowWidth="19800" windowHeight="11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1" l="1"/>
  <c r="C19" i="1" s="1"/>
  <c r="X13" i="1"/>
  <c r="T13" i="1"/>
  <c r="J13" i="1"/>
  <c r="F13" i="1"/>
  <c r="U13" i="1" s="1"/>
  <c r="L13" i="1" s="1"/>
  <c r="E13" i="1"/>
  <c r="H13" i="1" s="1"/>
  <c r="X12" i="1"/>
  <c r="S12" i="1"/>
  <c r="Q12" i="1"/>
  <c r="O12" i="1"/>
  <c r="T12" i="1" s="1"/>
  <c r="K12" i="1"/>
  <c r="D12" i="1"/>
  <c r="B18" i="1" s="1"/>
  <c r="C12" i="1"/>
  <c r="B12" i="1"/>
  <c r="J12" i="1" s="1"/>
  <c r="X11" i="1"/>
  <c r="H11" i="1" s="1"/>
  <c r="M11" i="1" s="1"/>
  <c r="T11" i="1"/>
  <c r="J11" i="1"/>
  <c r="F11" i="1"/>
  <c r="G11" i="1" s="1"/>
  <c r="E11" i="1"/>
  <c r="X10" i="1"/>
  <c r="T10" i="1"/>
  <c r="J10" i="1"/>
  <c r="F10" i="1"/>
  <c r="U10" i="1" s="1"/>
  <c r="L10" i="1" s="1"/>
  <c r="E10" i="1"/>
  <c r="X9" i="1"/>
  <c r="H9" i="1" s="1"/>
  <c r="I9" i="1" s="1"/>
  <c r="T9" i="1"/>
  <c r="J9" i="1"/>
  <c r="F9" i="1"/>
  <c r="U9" i="1" s="1"/>
  <c r="L9" i="1" s="1"/>
  <c r="E9" i="1"/>
  <c r="X8" i="1"/>
  <c r="T8" i="1"/>
  <c r="J8" i="1"/>
  <c r="F8" i="1"/>
  <c r="U8" i="1" s="1"/>
  <c r="E8" i="1"/>
  <c r="X7" i="1"/>
  <c r="H7" i="1" s="1"/>
  <c r="M7" i="1" s="1"/>
  <c r="T7" i="1"/>
  <c r="J7" i="1"/>
  <c r="F7" i="1"/>
  <c r="G7" i="1" s="1"/>
  <c r="E7" i="1"/>
  <c r="X6" i="1"/>
  <c r="T6" i="1"/>
  <c r="J6" i="1"/>
  <c r="F6" i="1"/>
  <c r="U6" i="1" s="1"/>
  <c r="L6" i="1" s="1"/>
  <c r="E6" i="1"/>
  <c r="H6" i="1" s="1"/>
  <c r="X5" i="1"/>
  <c r="H5" i="1" s="1"/>
  <c r="I5" i="1" s="1"/>
  <c r="T5" i="1"/>
  <c r="J5" i="1"/>
  <c r="F5" i="1"/>
  <c r="E5" i="1"/>
  <c r="X4" i="1"/>
  <c r="T4" i="1"/>
  <c r="L4" i="1" s="1"/>
  <c r="J4" i="1"/>
  <c r="G4" i="1"/>
  <c r="F4" i="1"/>
  <c r="U4" i="1" s="1"/>
  <c r="E4" i="1"/>
  <c r="E12" i="1" s="1"/>
  <c r="G10" i="1" l="1"/>
  <c r="F12" i="1"/>
  <c r="U12" i="1" s="1"/>
  <c r="H10" i="1"/>
  <c r="G6" i="1"/>
  <c r="G8" i="1"/>
  <c r="H8" i="1"/>
  <c r="M8" i="1" s="1"/>
  <c r="L8" i="1"/>
  <c r="H12" i="1"/>
  <c r="M12" i="1" s="1"/>
  <c r="I6" i="1"/>
  <c r="M6" i="1"/>
  <c r="I10" i="1"/>
  <c r="M10" i="1"/>
  <c r="L12" i="1"/>
  <c r="I13" i="1"/>
  <c r="M13" i="1"/>
  <c r="C20" i="1"/>
  <c r="D19" i="1"/>
  <c r="G5" i="1"/>
  <c r="I7" i="1"/>
  <c r="G9" i="1"/>
  <c r="I11" i="1"/>
  <c r="G13" i="1"/>
  <c r="D18" i="1"/>
  <c r="E18" i="1" s="1"/>
  <c r="F18" i="1" s="1"/>
  <c r="M5" i="1"/>
  <c r="U7" i="1"/>
  <c r="L7" i="1" s="1"/>
  <c r="M9" i="1"/>
  <c r="U11" i="1"/>
  <c r="L11" i="1" s="1"/>
  <c r="A18" i="1"/>
  <c r="E19" i="1"/>
  <c r="U5" i="1"/>
  <c r="L5" i="1" s="1"/>
  <c r="H4" i="1"/>
  <c r="F19" i="1"/>
  <c r="G12" i="1" l="1"/>
  <c r="I8" i="1"/>
  <c r="I12" i="1"/>
  <c r="D20" i="1"/>
  <c r="E20" i="1" s="1"/>
  <c r="F20" i="1" s="1"/>
  <c r="C21" i="1"/>
  <c r="M4" i="1"/>
  <c r="I4" i="1"/>
  <c r="C22" i="1" l="1"/>
  <c r="D21" i="1"/>
  <c r="E21" i="1" s="1"/>
  <c r="F21" i="1" s="1"/>
  <c r="C23" i="1" l="1"/>
  <c r="D23" i="1" s="1"/>
  <c r="E23" i="1" s="1"/>
  <c r="F23" i="1" s="1"/>
  <c r="D22" i="1"/>
  <c r="E22" i="1" s="1"/>
  <c r="F22" i="1" s="1"/>
</calcChain>
</file>

<file path=xl/sharedStrings.xml><?xml version="1.0" encoding="utf-8"?>
<sst xmlns="http://schemas.openxmlformats.org/spreadsheetml/2006/main" count="49" uniqueCount="45">
  <si>
    <t>Plan vs Achievement</t>
  </si>
  <si>
    <t xml:space="preserve">Date: </t>
  </si>
  <si>
    <t>24-Dec-25</t>
  </si>
  <si>
    <t>Production Unit</t>
  </si>
  <si>
    <t>QC Pass (Pcs)</t>
  </si>
  <si>
    <t>Plan (Pcs)</t>
  </si>
  <si>
    <t>Accu. QC Pass</t>
  </si>
  <si>
    <t>Plan Balance</t>
  </si>
  <si>
    <t>Required Prod upto yesterday</t>
  </si>
  <si>
    <t>Back Log upto yesterday</t>
  </si>
  <si>
    <t>Average Requirement as per Plan</t>
  </si>
  <si>
    <t>Average target in minutes</t>
  </si>
  <si>
    <t>QC Pass in minutes</t>
  </si>
  <si>
    <t>Factory Target</t>
  </si>
  <si>
    <t>Plan Achv % (monthly, minute based)</t>
  </si>
  <si>
    <t>Required Hr</t>
  </si>
  <si>
    <t>Plan SMV</t>
  </si>
  <si>
    <t>Produced SMV</t>
  </si>
  <si>
    <t>Plan Hr</t>
  </si>
  <si>
    <t>Produced Hr</t>
  </si>
  <si>
    <t>Plan Eff%</t>
  </si>
  <si>
    <t>Prod. Eff%</t>
  </si>
  <si>
    <t>Accu. Produced Minute</t>
  </si>
  <si>
    <t>Total Plan Minute</t>
  </si>
  <si>
    <t>Plan day</t>
  </si>
  <si>
    <t>Completed Day</t>
  </si>
  <si>
    <t>Remaining Days</t>
  </si>
  <si>
    <t>JAL</t>
  </si>
  <si>
    <t>JAL3</t>
  </si>
  <si>
    <t>JFL</t>
  </si>
  <si>
    <t>JKL</t>
  </si>
  <si>
    <t>MFL</t>
  </si>
  <si>
    <t>FFL2</t>
  </si>
  <si>
    <t>JKL-U2</t>
  </si>
  <si>
    <t>GTAL</t>
  </si>
  <si>
    <t>GMT TOTAL:</t>
  </si>
  <si>
    <t>LINGERIE</t>
  </si>
  <si>
    <t>Forecast excluding Lingerie:</t>
  </si>
  <si>
    <t>Plan Qty</t>
  </si>
  <si>
    <t>Production in Completed days</t>
  </si>
  <si>
    <t>Estimated Production/day</t>
  </si>
  <si>
    <t>Remaining days Possible Production</t>
  </si>
  <si>
    <t>Forecasted production</t>
  </si>
  <si>
    <t>Backlog from plan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</si>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</sst>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d/mmm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u/>
      <sz val="11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sz val="18"/>
      <name val="Playfair Display"/>
    </font>
  </fonts>
  <fills count="3">
    <fill>
      <patternFill patternType="none"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0" fillId="0" borderId="0"/>
    <xf numFmtId="9" fontId="1" fillId="0" borderId="0"/>
  </cellStyleXfs>
  <cellXfs count="23">
    <xf numFmtId="0" fontId="0" fillId="0" borderId="0" xfId="0"/>
    <xf numFmtId="3" fontId="0" fillId="0" borderId="0" xfId="0" applyNumberFormat="1"/>
    <xf numFmtId="3" fontId="2" fillId="0" borderId="0" xfId="0" applyNumberFormat="1" applyFont="1"/>
    <xf numFmtId="0" fontId="3" fillId="0" borderId="0" xfId="0" applyFont="1"/>
    <xf numFmtId="164" fontId="3" fillId="0" borderId="0" xfId="0" applyNumberFormat="1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0" fontId="0" fillId="0" borderId="2" xfId="0" applyBorder="1"/>
    <xf numFmtId="3" fontId="0" fillId="0" borderId="2" xfId="0" applyNumberFormat="1" applyBorder="1"/>
    <xf numFmtId="0" fontId="4" fillId="0" borderId="2" xfId="0" applyFont="1" applyBorder="1"/>
    <xf numFmtId="9" fontId="0" fillId="0" borderId="2" xfId="1" applyFont="1" applyBorder="1"/>
    <xf numFmtId="9" fontId="6" fillId="2" borderId="1" xfId="1" applyFont="1" applyFill="1" applyBorder="1" applyAlignment="1">
      <alignment horizontal="center" vertical="center" wrapText="1"/>
    </xf>
    <xf numFmtId="3" fontId="7" fillId="0" borderId="2" xfId="0" applyNumberFormat="1" applyFont="1" applyBorder="1"/>
    <xf numFmtId="0" fontId="7" fillId="0" borderId="2" xfId="0" applyFont="1" applyBorder="1"/>
    <xf numFmtId="0" fontId="7" fillId="0" borderId="2" xfId="0" applyFont="1" applyBorder="1" applyAlignment="1">
      <alignment horizontal="center"/>
    </xf>
    <xf numFmtId="9" fontId="0" fillId="0" borderId="2" xfId="1" applyFont="1" applyBorder="1" applyAlignment="1">
      <alignment horizontal="center"/>
    </xf>
    <xf numFmtId="1" fontId="0" fillId="0" borderId="2" xfId="0" applyNumberFormat="1" applyBorder="1"/>
    <xf numFmtId="0" fontId="0" fillId="0" borderId="3" xfId="0" applyBorder="1"/>
    <xf numFmtId="9" fontId="0" fillId="0" borderId="3" xfId="1" applyFont="1" applyBorder="1"/>
    <xf numFmtId="0" fontId="8" fillId="0" borderId="0" xfId="0" applyFont="1"/>
    <xf numFmtId="0" fontId="4" fillId="0" borderId="3" xfId="0" applyFont="1" applyBorder="1"/>
    <xf numFmtId="3" fontId="0" fillId="0" borderId="3" xfId="0" applyNumberFormat="1" applyBorder="1"/>
  </cellXfs>
  <cellStyles count="2">
    <cellStyle name="Normal" xfId="0" builtinId="0"/>
    <cellStyle name="Percent" xfId="1" builtinId="5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3"/>
  <sheetViews>
    <sheetView tabSelected="1" topLeftCell="H1" workbookViewId="0">
      <selection activeCell="W4" sqref="W4:W13"/>
    </sheetView>
  </sheetViews>
  <sheetFormatPr defaultRowHeight="15" x14ac:dyDescent="0.25"/>
  <cols>
    <col min="1" max="1" width="11.5703125" customWidth="1"/>
    <col min="2" max="2" width="13.140625" customWidth="1"/>
    <col min="3" max="3" width="10.5703125" customWidth="1"/>
    <col min="4" max="4" width="10.7109375" bestFit="1" customWidth="1"/>
    <col min="5" max="5" width="11.140625" customWidth="1"/>
    <col min="6" max="6" width="10.85546875" customWidth="1"/>
    <col min="7" max="7" width="11.28515625" customWidth="1"/>
    <col min="8" max="8" width="12.42578125" customWidth="1"/>
    <col min="9" max="9" width="10.140625" customWidth="1"/>
    <col min="10" max="10" width="10" bestFit="1" customWidth="1"/>
    <col min="11" max="11" width="10.42578125" customWidth="1"/>
    <col min="13" max="13" width="11.5703125" bestFit="1" customWidth="1"/>
    <col min="20" max="20" width="11.42578125" customWidth="1"/>
    <col min="21" max="21" width="13" customWidth="1"/>
  </cols>
  <sheetData>
    <row r="1" spans="1:24" ht="29.25" customHeight="1" x14ac:dyDescent="0.55000000000000004">
      <c r="A1" s="20" t="s">
        <v>0</v>
      </c>
    </row>
    <row r="2" spans="1:24" ht="15.75" customHeight="1" thickBot="1" x14ac:dyDescent="0.3">
      <c r="A2" s="3" t="s">
        <v>1</v>
      </c>
      <c r="B2" s="4" t="s">
        <v>2</v>
      </c>
    </row>
    <row r="3" spans="1:24" ht="76.5" customHeight="1" thickTop="1" thickBot="1" x14ac:dyDescent="0.3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  <c r="J3" s="6" t="s">
        <v>12</v>
      </c>
      <c r="K3" s="6" t="s">
        <v>13</v>
      </c>
      <c r="L3" s="6" t="s">
        <v>14</v>
      </c>
      <c r="M3" s="6" t="s">
        <v>15</v>
      </c>
      <c r="N3" s="6" t="s">
        <v>16</v>
      </c>
      <c r="O3" s="6" t="s">
        <v>17</v>
      </c>
      <c r="P3" s="6" t="s">
        <v>18</v>
      </c>
      <c r="Q3" s="6" t="s">
        <v>19</v>
      </c>
      <c r="R3" s="6" t="s">
        <v>20</v>
      </c>
      <c r="S3" s="6" t="s">
        <v>21</v>
      </c>
      <c r="T3" s="6" t="s">
        <v>22</v>
      </c>
      <c r="U3" s="6" t="s">
        <v>23</v>
      </c>
      <c r="V3" s="6" t="s">
        <v>24</v>
      </c>
      <c r="W3" s="6" t="s">
        <v>25</v>
      </c>
      <c r="X3" s="6" t="s">
        <v>26</v>
      </c>
    </row>
    <row r="4" spans="1:24" ht="15.75" customHeight="1" thickTop="1" x14ac:dyDescent="0.25">
      <c r="A4" s="10" t="s">
        <v>27</v>
      </c>
      <c r="B4" s="9">
        <v>93130</v>
      </c>
      <c r="C4" s="9">
        <v>3046419</v>
      </c>
      <c r="D4" s="9">
        <v>1955216</v>
      </c>
      <c r="E4" s="9">
        <f t="shared" ref="E4:E11" si="0">C4-D4</f>
        <v>1091203</v>
      </c>
      <c r="F4" s="9">
        <f t="shared" ref="F4:F11" si="1">C4*W4/V4</f>
        <v>2369437</v>
      </c>
      <c r="G4" s="9">
        <f t="shared" ref="G4:G11" si="2">F4-D4</f>
        <v>414221</v>
      </c>
      <c r="H4" s="9">
        <f t="shared" ref="H4:H13" si="3">(E4+B4)/(X4+1)</f>
        <v>169190.42857142858</v>
      </c>
      <c r="I4" s="9">
        <f t="shared" ref="I4:I13" si="4">H4*N4</f>
        <v>1192792.5214285715</v>
      </c>
      <c r="J4" s="9">
        <f t="shared" ref="J4:J13" si="5">B4*O4</f>
        <v>651910</v>
      </c>
      <c r="K4" s="9">
        <v>97359</v>
      </c>
      <c r="L4" s="16">
        <f t="shared" ref="L4:L13" si="6">T4/U4</f>
        <v>0.81932932585173446</v>
      </c>
      <c r="M4" s="9">
        <f t="shared" ref="M4:M13" si="7">H4/P4</f>
        <v>16919.042857142857</v>
      </c>
      <c r="N4" s="8">
        <v>7.05</v>
      </c>
      <c r="O4" s="8">
        <v>7</v>
      </c>
      <c r="P4" s="8">
        <v>10</v>
      </c>
      <c r="Q4" s="8">
        <v>10.89</v>
      </c>
      <c r="R4" s="11">
        <v>0.7</v>
      </c>
      <c r="S4" s="11">
        <v>0.72609999999999997</v>
      </c>
      <c r="T4" s="9">
        <f t="shared" ref="T4:T13" si="8">O4*D4</f>
        <v>13686512</v>
      </c>
      <c r="U4" s="9">
        <f t="shared" ref="U4:U13" si="9">N4*F4</f>
        <v>16704530.85</v>
      </c>
      <c r="V4" s="8">
        <v>27</v>
      </c>
      <c r="W4" s="8">
        <v>21</v>
      </c>
      <c r="X4" s="8">
        <f t="shared" ref="X4:X13" si="10">V4-W4</f>
        <v>6</v>
      </c>
    </row>
    <row r="5" spans="1:24" x14ac:dyDescent="0.25">
      <c r="A5" s="10" t="s">
        <v>28</v>
      </c>
      <c r="B5" s="9">
        <v>15080</v>
      </c>
      <c r="C5" s="9">
        <v>350940</v>
      </c>
      <c r="D5" s="9">
        <v>277150</v>
      </c>
      <c r="E5" s="9">
        <f t="shared" si="0"/>
        <v>73790</v>
      </c>
      <c r="F5" s="9">
        <f t="shared" si="1"/>
        <v>272953.33333333331</v>
      </c>
      <c r="G5" s="9">
        <f t="shared" si="2"/>
        <v>-4196.6666666666861</v>
      </c>
      <c r="H5" s="9">
        <f t="shared" si="3"/>
        <v>12695.714285714286</v>
      </c>
      <c r="I5" s="9">
        <f t="shared" si="4"/>
        <v>89504.78571428571</v>
      </c>
      <c r="J5" s="9">
        <f t="shared" si="5"/>
        <v>86408.400000000009</v>
      </c>
      <c r="K5" s="9">
        <v>14356</v>
      </c>
      <c r="L5" s="16">
        <f t="shared" si="6"/>
        <v>0.82526226133789549</v>
      </c>
      <c r="M5" s="17">
        <f t="shared" si="7"/>
        <v>1269.5714285714287</v>
      </c>
      <c r="N5" s="8">
        <v>7.05</v>
      </c>
      <c r="O5" s="8">
        <v>5.73</v>
      </c>
      <c r="P5" s="8">
        <v>10</v>
      </c>
      <c r="Q5" s="8">
        <v>11.03</v>
      </c>
      <c r="R5" s="11">
        <v>0.7</v>
      </c>
      <c r="S5" s="11">
        <v>0.75150000000000006</v>
      </c>
      <c r="T5" s="9">
        <f t="shared" si="8"/>
        <v>1588069.5000000002</v>
      </c>
      <c r="U5" s="9">
        <f t="shared" si="9"/>
        <v>1924320.9999999998</v>
      </c>
      <c r="V5" s="8">
        <v>27</v>
      </c>
      <c r="W5" s="8">
        <v>21</v>
      </c>
      <c r="X5" s="8">
        <f t="shared" si="10"/>
        <v>6</v>
      </c>
    </row>
    <row r="6" spans="1:24" x14ac:dyDescent="0.25">
      <c r="A6" s="10" t="s">
        <v>29</v>
      </c>
      <c r="B6" s="9">
        <v>42894</v>
      </c>
      <c r="C6" s="9">
        <v>1530868</v>
      </c>
      <c r="D6" s="9">
        <v>1000871</v>
      </c>
      <c r="E6" s="9">
        <f t="shared" si="0"/>
        <v>529997</v>
      </c>
      <c r="F6" s="9">
        <f t="shared" si="1"/>
        <v>1190675.111111111</v>
      </c>
      <c r="G6" s="9">
        <f t="shared" si="2"/>
        <v>189804.11111111101</v>
      </c>
      <c r="H6" s="9">
        <f t="shared" si="3"/>
        <v>81841.571428571435</v>
      </c>
      <c r="I6" s="9">
        <f t="shared" si="4"/>
        <v>554885.85428571433</v>
      </c>
      <c r="J6" s="9">
        <f t="shared" si="5"/>
        <v>255648.24</v>
      </c>
      <c r="K6" s="9">
        <v>45276</v>
      </c>
      <c r="L6" s="16">
        <f t="shared" si="6"/>
        <v>0.73892676247655797</v>
      </c>
      <c r="M6" s="9">
        <f t="shared" si="7"/>
        <v>7440.1428571428578</v>
      </c>
      <c r="N6" s="8">
        <v>6.78</v>
      </c>
      <c r="O6" s="8">
        <v>5.96</v>
      </c>
      <c r="P6" s="8">
        <v>11</v>
      </c>
      <c r="Q6" s="8">
        <v>10.34</v>
      </c>
      <c r="R6" s="11">
        <v>0.74</v>
      </c>
      <c r="S6" s="11">
        <v>0.68849999999999989</v>
      </c>
      <c r="T6" s="9">
        <f t="shared" si="8"/>
        <v>5965191.1600000001</v>
      </c>
      <c r="U6" s="9">
        <f t="shared" si="9"/>
        <v>8072777.2533333329</v>
      </c>
      <c r="V6" s="8">
        <v>27</v>
      </c>
      <c r="W6" s="8">
        <v>21</v>
      </c>
      <c r="X6" s="8">
        <f t="shared" si="10"/>
        <v>6</v>
      </c>
    </row>
    <row r="7" spans="1:24" x14ac:dyDescent="0.25">
      <c r="A7" s="10" t="s">
        <v>30</v>
      </c>
      <c r="B7" s="9">
        <v>74111</v>
      </c>
      <c r="C7" s="9">
        <v>2273631</v>
      </c>
      <c r="D7" s="9">
        <v>1657779</v>
      </c>
      <c r="E7" s="9">
        <f t="shared" si="0"/>
        <v>615852</v>
      </c>
      <c r="F7" s="9">
        <f t="shared" si="1"/>
        <v>1768379.6666666667</v>
      </c>
      <c r="G7" s="9">
        <f t="shared" si="2"/>
        <v>110600.66666666674</v>
      </c>
      <c r="H7" s="9">
        <f t="shared" si="3"/>
        <v>98566.142857142855</v>
      </c>
      <c r="I7" s="9">
        <f t="shared" si="4"/>
        <v>828941.26142857142</v>
      </c>
      <c r="J7" s="9">
        <f t="shared" si="5"/>
        <v>577324.69000000006</v>
      </c>
      <c r="K7" s="9">
        <v>89634</v>
      </c>
      <c r="L7" s="16">
        <f t="shared" si="6"/>
        <v>0.86834555027362248</v>
      </c>
      <c r="M7" s="9">
        <f t="shared" si="7"/>
        <v>9856.6142857142859</v>
      </c>
      <c r="N7" s="8">
        <v>8.41</v>
      </c>
      <c r="O7" s="8">
        <v>7.79</v>
      </c>
      <c r="P7" s="8">
        <v>10</v>
      </c>
      <c r="Q7" s="8">
        <v>10.039999999999999</v>
      </c>
      <c r="R7" s="11">
        <v>0.63</v>
      </c>
      <c r="S7" s="11">
        <v>0.60650000000000004</v>
      </c>
      <c r="T7" s="9">
        <f t="shared" si="8"/>
        <v>12914098.41</v>
      </c>
      <c r="U7" s="9">
        <f t="shared" si="9"/>
        <v>14872072.996666668</v>
      </c>
      <c r="V7" s="8">
        <v>27</v>
      </c>
      <c r="W7" s="8">
        <v>21</v>
      </c>
      <c r="X7" s="8">
        <f t="shared" si="10"/>
        <v>6</v>
      </c>
    </row>
    <row r="8" spans="1:24" x14ac:dyDescent="0.25">
      <c r="A8" s="10" t="s">
        <v>31</v>
      </c>
      <c r="B8" s="9">
        <v>71997</v>
      </c>
      <c r="C8" s="9">
        <v>2343006</v>
      </c>
      <c r="D8" s="9">
        <v>1443561</v>
      </c>
      <c r="E8" s="9">
        <f t="shared" si="0"/>
        <v>899445</v>
      </c>
      <c r="F8" s="9">
        <f t="shared" si="1"/>
        <v>1822338</v>
      </c>
      <c r="G8" s="9">
        <f t="shared" si="2"/>
        <v>378777</v>
      </c>
      <c r="H8" s="9">
        <f t="shared" si="3"/>
        <v>138777.42857142858</v>
      </c>
      <c r="I8" s="9">
        <f t="shared" si="4"/>
        <v>1024177.4228571429</v>
      </c>
      <c r="J8" s="9">
        <f t="shared" si="5"/>
        <v>509738.76</v>
      </c>
      <c r="K8" s="9">
        <v>78266</v>
      </c>
      <c r="L8" s="16">
        <f t="shared" si="6"/>
        <v>0.75994665014754981</v>
      </c>
      <c r="M8" s="9">
        <f t="shared" si="7"/>
        <v>13877.742857142857</v>
      </c>
      <c r="N8" s="8">
        <v>7.38</v>
      </c>
      <c r="O8" s="8">
        <v>7.08</v>
      </c>
      <c r="P8" s="8">
        <v>10</v>
      </c>
      <c r="Q8" s="8">
        <v>8.7200000000000006</v>
      </c>
      <c r="R8" s="11">
        <v>0.71</v>
      </c>
      <c r="S8" s="11">
        <v>0.67130000000000001</v>
      </c>
      <c r="T8" s="9">
        <f t="shared" si="8"/>
        <v>10220411.880000001</v>
      </c>
      <c r="U8" s="9">
        <f t="shared" si="9"/>
        <v>13448854.439999999</v>
      </c>
      <c r="V8" s="8">
        <v>27</v>
      </c>
      <c r="W8" s="8">
        <v>21</v>
      </c>
      <c r="X8" s="8">
        <f t="shared" si="10"/>
        <v>6</v>
      </c>
    </row>
    <row r="9" spans="1:24" x14ac:dyDescent="0.25">
      <c r="A9" s="10" t="s">
        <v>32</v>
      </c>
      <c r="B9" s="9">
        <v>108770</v>
      </c>
      <c r="C9" s="9">
        <v>2907274</v>
      </c>
      <c r="D9" s="9">
        <v>2334392</v>
      </c>
      <c r="E9" s="9">
        <f t="shared" si="0"/>
        <v>572882</v>
      </c>
      <c r="F9" s="9">
        <f t="shared" si="1"/>
        <v>2261213.111111111</v>
      </c>
      <c r="G9" s="9">
        <f t="shared" si="2"/>
        <v>-73178.888888888992</v>
      </c>
      <c r="H9" s="9">
        <f t="shared" si="3"/>
        <v>97378.857142857145</v>
      </c>
      <c r="I9" s="9">
        <f t="shared" si="4"/>
        <v>635883.93714285723</v>
      </c>
      <c r="J9" s="9">
        <f t="shared" si="5"/>
        <v>665672.4</v>
      </c>
      <c r="K9" s="9">
        <v>122585</v>
      </c>
      <c r="L9" s="16">
        <f t="shared" si="6"/>
        <v>0.96754357233373034</v>
      </c>
      <c r="M9" s="9">
        <f t="shared" si="7"/>
        <v>9737.8857142857141</v>
      </c>
      <c r="N9" s="8">
        <v>6.53</v>
      </c>
      <c r="O9" s="8">
        <v>6.12</v>
      </c>
      <c r="P9" s="8">
        <v>10</v>
      </c>
      <c r="Q9" s="8">
        <v>12.12</v>
      </c>
      <c r="R9" s="11">
        <v>0.68</v>
      </c>
      <c r="S9" s="11">
        <v>0.69409999999999994</v>
      </c>
      <c r="T9" s="9">
        <f t="shared" si="8"/>
        <v>14286479.040000001</v>
      </c>
      <c r="U9" s="9">
        <f t="shared" si="9"/>
        <v>14765721.615555555</v>
      </c>
      <c r="V9" s="8">
        <v>27</v>
      </c>
      <c r="W9" s="8">
        <v>21</v>
      </c>
      <c r="X9" s="8">
        <f t="shared" si="10"/>
        <v>6</v>
      </c>
    </row>
    <row r="10" spans="1:24" ht="14.25" customHeight="1" x14ac:dyDescent="0.25">
      <c r="A10" s="10" t="s">
        <v>33</v>
      </c>
      <c r="B10" s="9">
        <v>135276</v>
      </c>
      <c r="C10" s="9">
        <v>3971692</v>
      </c>
      <c r="D10" s="9">
        <v>2908618</v>
      </c>
      <c r="E10" s="9">
        <f t="shared" si="0"/>
        <v>1063074</v>
      </c>
      <c r="F10" s="9">
        <f t="shared" si="1"/>
        <v>3089093.777777778</v>
      </c>
      <c r="G10" s="9">
        <f t="shared" si="2"/>
        <v>180475.77777777798</v>
      </c>
      <c r="H10" s="9">
        <f t="shared" si="3"/>
        <v>171192.85714285713</v>
      </c>
      <c r="I10" s="9">
        <f t="shared" si="4"/>
        <v>1352423.5714285714</v>
      </c>
      <c r="J10" s="9">
        <f t="shared" si="5"/>
        <v>1006453.4400000001</v>
      </c>
      <c r="K10" s="9">
        <v>141756</v>
      </c>
      <c r="L10" s="16">
        <f t="shared" si="6"/>
        <v>0.88675049382345039</v>
      </c>
      <c r="M10" s="9">
        <f t="shared" si="7"/>
        <v>17119.285714285714</v>
      </c>
      <c r="N10" s="8">
        <v>7.9</v>
      </c>
      <c r="O10" s="8">
        <v>7.44</v>
      </c>
      <c r="P10" s="8">
        <v>10</v>
      </c>
      <c r="Q10" s="8">
        <v>10.26</v>
      </c>
      <c r="R10" s="11">
        <v>0.68</v>
      </c>
      <c r="S10" s="11">
        <v>0.68659999999999999</v>
      </c>
      <c r="T10" s="9">
        <f t="shared" si="8"/>
        <v>21640117.920000002</v>
      </c>
      <c r="U10" s="9">
        <f t="shared" si="9"/>
        <v>24403840.844444446</v>
      </c>
      <c r="V10" s="8">
        <v>27</v>
      </c>
      <c r="W10" s="8">
        <v>21</v>
      </c>
      <c r="X10" s="8">
        <f t="shared" si="10"/>
        <v>6</v>
      </c>
    </row>
    <row r="11" spans="1:24" ht="14.25" customHeight="1" thickBot="1" x14ac:dyDescent="0.3">
      <c r="A11" s="21" t="s">
        <v>34</v>
      </c>
      <c r="B11" s="22">
        <v>14565</v>
      </c>
      <c r="C11" s="22">
        <v>0</v>
      </c>
      <c r="D11" s="22">
        <v>715351</v>
      </c>
      <c r="E11" s="9">
        <f t="shared" si="0"/>
        <v>-715351</v>
      </c>
      <c r="F11" s="9">
        <f t="shared" si="1"/>
        <v>0</v>
      </c>
      <c r="G11" s="9">
        <f t="shared" si="2"/>
        <v>-715351</v>
      </c>
      <c r="H11" s="9">
        <f t="shared" si="3"/>
        <v>-100112.28571428571</v>
      </c>
      <c r="I11" s="9">
        <f t="shared" si="4"/>
        <v>0</v>
      </c>
      <c r="J11" s="9">
        <f t="shared" si="5"/>
        <v>68309.850000000006</v>
      </c>
      <c r="K11" s="9">
        <v>32990</v>
      </c>
      <c r="L11" s="16" t="e">
        <f t="shared" si="6"/>
        <v>#DIV/0!</v>
      </c>
      <c r="M11" s="9">
        <f t="shared" si="7"/>
        <v>-10011.228571428572</v>
      </c>
      <c r="N11" s="18">
        <v>0</v>
      </c>
      <c r="O11" s="18">
        <v>4.6900000000000004</v>
      </c>
      <c r="P11" s="18">
        <v>10</v>
      </c>
      <c r="Q11" s="18">
        <v>10.24</v>
      </c>
      <c r="R11" s="19">
        <v>0.63</v>
      </c>
      <c r="S11" s="19">
        <v>0.39369999999999999</v>
      </c>
      <c r="T11" s="9">
        <f t="shared" si="8"/>
        <v>3354996.1900000004</v>
      </c>
      <c r="U11" s="9">
        <f t="shared" si="9"/>
        <v>0</v>
      </c>
      <c r="V11" s="18">
        <v>27</v>
      </c>
      <c r="W11" s="18">
        <v>21</v>
      </c>
      <c r="X11" s="8">
        <f t="shared" si="10"/>
        <v>6</v>
      </c>
    </row>
    <row r="12" spans="1:24" ht="27.75" customHeight="1" thickTop="1" thickBot="1" x14ac:dyDescent="0.3">
      <c r="A12" s="6" t="s">
        <v>35</v>
      </c>
      <c r="B12" s="7">
        <f t="shared" ref="B12:G12" si="11">SUM(B4:B11)</f>
        <v>555823</v>
      </c>
      <c r="C12" s="7">
        <f t="shared" si="11"/>
        <v>16423830</v>
      </c>
      <c r="D12" s="7">
        <f t="shared" si="11"/>
        <v>12292938</v>
      </c>
      <c r="E12" s="7">
        <f t="shared" si="11"/>
        <v>4130892</v>
      </c>
      <c r="F12" s="7">
        <f t="shared" si="11"/>
        <v>12774090</v>
      </c>
      <c r="G12" s="7">
        <f t="shared" si="11"/>
        <v>481152</v>
      </c>
      <c r="H12" s="7">
        <f t="shared" si="3"/>
        <v>669530.71428571432</v>
      </c>
      <c r="I12" s="7">
        <f t="shared" si="4"/>
        <v>4941136.6714285715</v>
      </c>
      <c r="J12" s="7">
        <f t="shared" si="5"/>
        <v>3599648.7037499999</v>
      </c>
      <c r="K12" s="7">
        <f>SUM(K4:K11)</f>
        <v>622222</v>
      </c>
      <c r="L12" s="12">
        <f t="shared" si="6"/>
        <v>0.84448698951759604</v>
      </c>
      <c r="M12" s="7">
        <f t="shared" si="7"/>
        <v>66953.071428571435</v>
      </c>
      <c r="N12" s="6">
        <v>7.38</v>
      </c>
      <c r="O12" s="6">
        <f>AVERAGE(O4:O11)</f>
        <v>6.4762499999999994</v>
      </c>
      <c r="P12" s="6">
        <v>10</v>
      </c>
      <c r="Q12" s="6">
        <f>AVERAGE(Q4:Q11)</f>
        <v>10.455</v>
      </c>
      <c r="R12" s="12">
        <v>0.68630000000000002</v>
      </c>
      <c r="S12" s="12">
        <f>AVERAGE(S4:S11)</f>
        <v>0.65228750000000002</v>
      </c>
      <c r="T12" s="7">
        <f t="shared" si="8"/>
        <v>79612139.722499996</v>
      </c>
      <c r="U12" s="7">
        <f t="shared" si="9"/>
        <v>94272784.200000003</v>
      </c>
      <c r="V12" s="6">
        <v>27</v>
      </c>
      <c r="W12" s="6">
        <v>21</v>
      </c>
      <c r="X12" s="6">
        <f t="shared" si="10"/>
        <v>6</v>
      </c>
    </row>
    <row r="13" spans="1:24" ht="15.75" customHeight="1" thickTop="1" x14ac:dyDescent="0.25">
      <c r="A13" s="10" t="s">
        <v>36</v>
      </c>
      <c r="B13" s="9">
        <v>135990</v>
      </c>
      <c r="C13" s="9">
        <v>3336726</v>
      </c>
      <c r="D13" s="9">
        <v>2691087</v>
      </c>
      <c r="E13" s="9">
        <f>C13-D13</f>
        <v>645639</v>
      </c>
      <c r="F13" s="9">
        <f>C13*W13/V13</f>
        <v>2595231.3333333335</v>
      </c>
      <c r="G13" s="9">
        <f>F13-D13</f>
        <v>-95855.666666666511</v>
      </c>
      <c r="H13" s="9">
        <f t="shared" si="3"/>
        <v>111661.28571428571</v>
      </c>
      <c r="I13" s="9">
        <f t="shared" si="4"/>
        <v>467860.78714285715</v>
      </c>
      <c r="J13" s="9">
        <f t="shared" si="5"/>
        <v>523561.5</v>
      </c>
      <c r="K13" s="9">
        <v>126919</v>
      </c>
      <c r="L13" s="16">
        <f t="shared" si="6"/>
        <v>0.95279258541539469</v>
      </c>
      <c r="M13" s="9">
        <f t="shared" si="7"/>
        <v>11077.508503401361</v>
      </c>
      <c r="N13" s="8">
        <v>4.1900000000000004</v>
      </c>
      <c r="O13" s="8">
        <v>3.85</v>
      </c>
      <c r="P13" s="8">
        <v>10.08</v>
      </c>
      <c r="Q13" s="8">
        <v>10.17</v>
      </c>
      <c r="R13" s="11">
        <v>0.79</v>
      </c>
      <c r="S13" s="11">
        <v>0.74849999999999994</v>
      </c>
      <c r="T13" s="9">
        <f t="shared" si="8"/>
        <v>10360684.950000001</v>
      </c>
      <c r="U13" s="9">
        <f t="shared" si="9"/>
        <v>10874019.286666669</v>
      </c>
      <c r="V13" s="8">
        <v>27</v>
      </c>
      <c r="W13" s="8">
        <v>21</v>
      </c>
      <c r="X13" s="8">
        <f t="shared" si="10"/>
        <v>6</v>
      </c>
    </row>
    <row r="14" spans="1:24" x14ac:dyDescent="0.25">
      <c r="C14" s="1"/>
    </row>
    <row r="15" spans="1:24" x14ac:dyDescent="0.25">
      <c r="C15" s="2"/>
      <c r="D15" s="2"/>
      <c r="E15" s="1"/>
      <c r="H15" s="2"/>
      <c r="L15" s="1"/>
    </row>
    <row r="16" spans="1:24" ht="15.75" customHeight="1" thickBot="1" x14ac:dyDescent="0.3">
      <c r="A16" s="5" t="s">
        <v>37</v>
      </c>
      <c r="M16" s="1"/>
    </row>
    <row r="17" spans="1:13" ht="61.5" customHeight="1" thickTop="1" thickBot="1" x14ac:dyDescent="0.3">
      <c r="A17" s="6" t="s">
        <v>38</v>
      </c>
      <c r="B17" s="6" t="s">
        <v>39</v>
      </c>
      <c r="C17" s="6" t="s">
        <v>40</v>
      </c>
      <c r="D17" s="6" t="s">
        <v>41</v>
      </c>
      <c r="E17" s="6" t="s">
        <v>42</v>
      </c>
      <c r="F17" s="6" t="s">
        <v>43</v>
      </c>
      <c r="J17" s="1"/>
    </row>
    <row r="18" spans="1:13" ht="15.75" customHeight="1" thickTop="1" x14ac:dyDescent="0.25">
      <c r="A18" s="13">
        <f>C12</f>
        <v>16423830</v>
      </c>
      <c r="B18" s="13">
        <f>D12</f>
        <v>12292938</v>
      </c>
      <c r="C18" s="13">
        <f>QUOTIENT(B12,10000)*10000</f>
        <v>550000</v>
      </c>
      <c r="D18" s="13">
        <f t="shared" ref="D18:D23" si="12">C18*$X$12</f>
        <v>3300000</v>
      </c>
      <c r="E18" s="13">
        <f t="shared" ref="E18:E23" si="13">$D$12+D18</f>
        <v>15592938</v>
      </c>
      <c r="F18" s="13">
        <f t="shared" ref="F18:F23" si="14">$C$12-E18</f>
        <v>830892</v>
      </c>
      <c r="M18" s="1"/>
    </row>
    <row r="19" spans="1:13" x14ac:dyDescent="0.25">
      <c r="A19" s="15" t="s">
        <v>44</v>
      </c>
      <c r="B19" s="14"/>
      <c r="C19" s="13">
        <f>C18+35000</f>
        <v>585000</v>
      </c>
      <c r="D19" s="13">
        <f t="shared" si="12"/>
        <v>3510000</v>
      </c>
      <c r="E19" s="13">
        <f t="shared" si="13"/>
        <v>15802938</v>
      </c>
      <c r="F19" s="13">
        <f t="shared" si="14"/>
        <v>620892</v>
      </c>
      <c r="M19" s="1"/>
    </row>
    <row r="20" spans="1:13" x14ac:dyDescent="0.25">
      <c r="A20" s="15" t="s">
        <v>44</v>
      </c>
      <c r="B20" s="14"/>
      <c r="C20" s="13">
        <f>C19+35000</f>
        <v>620000</v>
      </c>
      <c r="D20" s="13">
        <f t="shared" si="12"/>
        <v>3720000</v>
      </c>
      <c r="E20" s="13">
        <f t="shared" si="13"/>
        <v>16012938</v>
      </c>
      <c r="F20" s="13">
        <f t="shared" si="14"/>
        <v>410892</v>
      </c>
    </row>
    <row r="21" spans="1:13" x14ac:dyDescent="0.25">
      <c r="A21" s="15" t="s">
        <v>44</v>
      </c>
      <c r="B21" s="14"/>
      <c r="C21" s="13">
        <f>C20+35000</f>
        <v>655000</v>
      </c>
      <c r="D21" s="13">
        <f t="shared" si="12"/>
        <v>3930000</v>
      </c>
      <c r="E21" s="13">
        <f t="shared" si="13"/>
        <v>16222938</v>
      </c>
      <c r="F21" s="13">
        <f t="shared" si="14"/>
        <v>200892</v>
      </c>
    </row>
    <row r="22" spans="1:13" x14ac:dyDescent="0.25">
      <c r="A22" s="15" t="s">
        <v>44</v>
      </c>
      <c r="B22" s="14"/>
      <c r="C22" s="13">
        <f>C21+35000</f>
        <v>690000</v>
      </c>
      <c r="D22" s="13">
        <f t="shared" si="12"/>
        <v>4140000</v>
      </c>
      <c r="E22" s="13">
        <f t="shared" si="13"/>
        <v>16432938</v>
      </c>
      <c r="F22" s="13">
        <f t="shared" si="14"/>
        <v>-9108</v>
      </c>
    </row>
    <row r="23" spans="1:13" x14ac:dyDescent="0.25">
      <c r="A23" s="15" t="s">
        <v>44</v>
      </c>
      <c r="B23" s="14"/>
      <c r="C23" s="13">
        <f>C22+35000</f>
        <v>725000</v>
      </c>
      <c r="D23" s="13">
        <f t="shared" si="12"/>
        <v>4350000</v>
      </c>
      <c r="E23" s="13">
        <f t="shared" si="13"/>
        <v>16642938</v>
      </c>
      <c r="F23" s="13">
        <f t="shared" si="14"/>
        <v>-219108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Mahfuzur Rahman</dc:creator>
  <cp:lastModifiedBy>Md. Mahfuzur Rahman</cp:lastModifiedBy>
  <dcterms:created xsi:type="dcterms:W3CDTF">2015-06-05T18:17:20Z</dcterms:created>
  <dcterms:modified xsi:type="dcterms:W3CDTF">2025-12-25T05:30:55Z</dcterms:modified>
</cp:coreProperties>
</file>