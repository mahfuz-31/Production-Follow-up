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51109E2A-D4F7-4FCC-A06C-005476E01360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X13" i="1"/>
  <c r="T13" i="1"/>
  <c r="J13" i="1"/>
  <c r="F13" i="1"/>
  <c r="U13" i="1" s="1"/>
  <c r="L13" i="1" s="1"/>
  <c r="E13" i="1"/>
  <c r="X12" i="1"/>
  <c r="T12" i="1"/>
  <c r="S12" i="1"/>
  <c r="Q12" i="1"/>
  <c r="O12" i="1"/>
  <c r="K12" i="1"/>
  <c r="D12" i="1"/>
  <c r="C12" i="1"/>
  <c r="A18" i="1" s="1"/>
  <c r="B12" i="1"/>
  <c r="C18" i="1" s="1"/>
  <c r="X11" i="1"/>
  <c r="T11" i="1"/>
  <c r="J11" i="1"/>
  <c r="F11" i="1"/>
  <c r="U11" i="1" s="1"/>
  <c r="E11" i="1"/>
  <c r="X10" i="1"/>
  <c r="T10" i="1"/>
  <c r="J10" i="1"/>
  <c r="H10" i="1"/>
  <c r="I10" i="1" s="1"/>
  <c r="F10" i="1"/>
  <c r="G10" i="1" s="1"/>
  <c r="E10" i="1"/>
  <c r="X9" i="1"/>
  <c r="T9" i="1"/>
  <c r="J9" i="1"/>
  <c r="F9" i="1"/>
  <c r="U9" i="1" s="1"/>
  <c r="L9" i="1" s="1"/>
  <c r="E9" i="1"/>
  <c r="X8" i="1"/>
  <c r="T8" i="1"/>
  <c r="J8" i="1"/>
  <c r="H8" i="1"/>
  <c r="I8" i="1" s="1"/>
  <c r="F8" i="1"/>
  <c r="G8" i="1" s="1"/>
  <c r="E8" i="1"/>
  <c r="X7" i="1"/>
  <c r="T7" i="1"/>
  <c r="J7" i="1"/>
  <c r="F7" i="1"/>
  <c r="U7" i="1" s="1"/>
  <c r="E7" i="1"/>
  <c r="X6" i="1"/>
  <c r="T6" i="1"/>
  <c r="J6" i="1"/>
  <c r="H6" i="1"/>
  <c r="I6" i="1" s="1"/>
  <c r="F6" i="1"/>
  <c r="G6" i="1" s="1"/>
  <c r="E6" i="1"/>
  <c r="X5" i="1"/>
  <c r="T5" i="1"/>
  <c r="J5" i="1"/>
  <c r="F5" i="1"/>
  <c r="U5" i="1" s="1"/>
  <c r="L5" i="1" s="1"/>
  <c r="E5" i="1"/>
  <c r="X4" i="1"/>
  <c r="H4" i="1" s="1"/>
  <c r="I4" i="1" s="1"/>
  <c r="T4" i="1"/>
  <c r="J4" i="1"/>
  <c r="F4" i="1"/>
  <c r="G4" i="1" s="1"/>
  <c r="E4" i="1"/>
  <c r="G5" i="1" l="1"/>
  <c r="G7" i="1"/>
  <c r="G12" i="1" s="1"/>
  <c r="G9" i="1"/>
  <c r="G11" i="1"/>
  <c r="H5" i="1"/>
  <c r="H7" i="1"/>
  <c r="L7" i="1"/>
  <c r="H9" i="1"/>
  <c r="H11" i="1"/>
  <c r="H13" i="1"/>
  <c r="M13" i="1" s="1"/>
  <c r="L11" i="1"/>
  <c r="G13" i="1"/>
  <c r="D18" i="1"/>
  <c r="C19" i="1"/>
  <c r="I13" i="1"/>
  <c r="M5" i="1"/>
  <c r="I5" i="1"/>
  <c r="M7" i="1"/>
  <c r="I7" i="1"/>
  <c r="M9" i="1"/>
  <c r="I9" i="1"/>
  <c r="I11" i="1"/>
  <c r="M11" i="1"/>
  <c r="M4" i="1"/>
  <c r="U6" i="1"/>
  <c r="L6" i="1" s="1"/>
  <c r="M8" i="1"/>
  <c r="U10" i="1"/>
  <c r="L10" i="1" s="1"/>
  <c r="E12" i="1"/>
  <c r="H12" i="1" s="1"/>
  <c r="F12" i="1"/>
  <c r="U12" i="1" s="1"/>
  <c r="L12" i="1" s="1"/>
  <c r="J12" i="1"/>
  <c r="U4" i="1"/>
  <c r="L4" i="1" s="1"/>
  <c r="M6" i="1"/>
  <c r="U8" i="1"/>
  <c r="L8" i="1" s="1"/>
  <c r="M10" i="1"/>
  <c r="E18" i="1"/>
  <c r="F18" i="1" s="1"/>
  <c r="D19" i="1" l="1"/>
  <c r="E19" i="1" s="1"/>
  <c r="F19" i="1" s="1"/>
  <c r="C20" i="1"/>
  <c r="M12" i="1"/>
  <c r="I12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<sst xmlns="http://schemas.openxmlformats.org/spreadsheetml/2006/main" count="49" uniqueCount="45">
  <si>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</si>
  <si>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</si>
  <si>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21-Dec-25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</si>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</sst>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W12" sqref="W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92554</v>
      </c>
      <c r="C4" s="9">
        <v>3046419</v>
      </c>
      <c r="D4" s="9">
        <v>1683394</v>
      </c>
      <c r="E4" s="9">
        <f t="shared" ref="E4:E11" si="0">C4-D4</f>
        <v>1363025</v>
      </c>
      <c r="F4" s="9">
        <f t="shared" ref="F4:F11" si="1">C4*W4/V4</f>
        <v>2030946</v>
      </c>
      <c r="G4" s="9">
        <f t="shared" ref="G4:G11" si="2">F4-D4</f>
        <v>347552</v>
      </c>
      <c r="H4" s="9">
        <f t="shared" ref="H4:H13" si="3">(E4+B4)/(X4+1)</f>
        <v>145557.9</v>
      </c>
      <c r="I4" s="9">
        <f t="shared" ref="I4:I13" si="4">H4*N4</f>
        <v>1026183.1949999999</v>
      </c>
      <c r="J4" s="9">
        <f t="shared" ref="J4:J13" si="5">B4*O4</f>
        <v>652505.69999999995</v>
      </c>
      <c r="K4" s="9">
        <v>89397</v>
      </c>
      <c r="L4" s="16">
        <f t="shared" ref="L4:L13" si="6">T4/U4</f>
        <v>0.82887186562321202</v>
      </c>
      <c r="M4" s="9">
        <f t="shared" ref="M4:M13" si="7">H4/P4</f>
        <v>14555.789999999999</v>
      </c>
      <c r="N4" s="8">
        <v>7.05</v>
      </c>
      <c r="O4" s="8">
        <v>7.05</v>
      </c>
      <c r="P4" s="8">
        <v>10</v>
      </c>
      <c r="Q4" s="8">
        <v>10.95</v>
      </c>
      <c r="R4" s="11">
        <v>0.7</v>
      </c>
      <c r="S4" s="11">
        <v>0.72959999999999992</v>
      </c>
      <c r="T4" s="9">
        <f t="shared" ref="T4:T13" si="8">O4*D4</f>
        <v>11867927.699999999</v>
      </c>
      <c r="U4" s="9">
        <f t="shared" ref="U4:U13" si="9">N4*F4</f>
        <v>14318169.299999999</v>
      </c>
      <c r="V4" s="8">
        <v>27</v>
      </c>
      <c r="W4" s="8">
        <v>18</v>
      </c>
      <c r="X4" s="8">
        <f t="shared" ref="X4:X13" si="10">V4-W4</f>
        <v>9</v>
      </c>
    </row>
    <row r="5" spans="1:24" x14ac:dyDescent="0.25">
      <c r="A5" s="10" t="s">
        <v>28</v>
      </c>
      <c r="B5" s="9">
        <v>15980</v>
      </c>
      <c r="C5" s="9">
        <v>350940</v>
      </c>
      <c r="D5" s="9">
        <v>236330</v>
      </c>
      <c r="E5" s="9">
        <f t="shared" si="0"/>
        <v>114610</v>
      </c>
      <c r="F5" s="9">
        <f t="shared" si="1"/>
        <v>233960</v>
      </c>
      <c r="G5" s="9">
        <f t="shared" si="2"/>
        <v>-2370</v>
      </c>
      <c r="H5" s="9">
        <f t="shared" si="3"/>
        <v>13059</v>
      </c>
      <c r="I5" s="9">
        <f t="shared" si="4"/>
        <v>92065.95</v>
      </c>
      <c r="J5" s="9">
        <f t="shared" si="5"/>
        <v>92364.400000000009</v>
      </c>
      <c r="K5" s="9">
        <v>14416</v>
      </c>
      <c r="L5" s="16">
        <f t="shared" si="6"/>
        <v>0.82816326728579426</v>
      </c>
      <c r="M5" s="17">
        <f t="shared" si="7"/>
        <v>1305.9000000000001</v>
      </c>
      <c r="N5" s="8">
        <v>7.05</v>
      </c>
      <c r="O5" s="8">
        <v>5.78</v>
      </c>
      <c r="P5" s="8">
        <v>10</v>
      </c>
      <c r="Q5" s="8">
        <v>11.12</v>
      </c>
      <c r="R5" s="11">
        <v>0.7</v>
      </c>
      <c r="S5" s="11">
        <v>0.75159999999999993</v>
      </c>
      <c r="T5" s="9">
        <f t="shared" si="8"/>
        <v>1365987.4000000001</v>
      </c>
      <c r="U5" s="9">
        <f t="shared" si="9"/>
        <v>1649418</v>
      </c>
      <c r="V5" s="8">
        <v>27</v>
      </c>
      <c r="W5" s="8">
        <v>18</v>
      </c>
      <c r="X5" s="8">
        <f t="shared" si="10"/>
        <v>9</v>
      </c>
    </row>
    <row r="6" spans="1:24" x14ac:dyDescent="0.25">
      <c r="A6" s="10" t="s">
        <v>29</v>
      </c>
      <c r="B6" s="9">
        <v>49856</v>
      </c>
      <c r="C6" s="9">
        <v>1530868</v>
      </c>
      <c r="D6" s="9">
        <v>866206</v>
      </c>
      <c r="E6" s="9">
        <f t="shared" si="0"/>
        <v>664662</v>
      </c>
      <c r="F6" s="9">
        <f t="shared" si="1"/>
        <v>1020578.6666666666</v>
      </c>
      <c r="G6" s="9">
        <f t="shared" si="2"/>
        <v>154372.66666666663</v>
      </c>
      <c r="H6" s="9">
        <f t="shared" si="3"/>
        <v>71451.8</v>
      </c>
      <c r="I6" s="9">
        <f t="shared" si="4"/>
        <v>484443.20400000003</v>
      </c>
      <c r="J6" s="9">
        <f t="shared" si="5"/>
        <v>298637.44</v>
      </c>
      <c r="K6" s="9">
        <v>48149</v>
      </c>
      <c r="L6" s="16">
        <f t="shared" si="6"/>
        <v>0.74984557028795118</v>
      </c>
      <c r="M6" s="9">
        <f t="shared" si="7"/>
        <v>6495.6181818181822</v>
      </c>
      <c r="N6" s="8">
        <v>6.78</v>
      </c>
      <c r="O6" s="8">
        <v>5.99</v>
      </c>
      <c r="P6" s="8">
        <v>11</v>
      </c>
      <c r="Q6" s="8">
        <v>10.47</v>
      </c>
      <c r="R6" s="11">
        <v>0.74</v>
      </c>
      <c r="S6" s="11">
        <v>0.69569999999999999</v>
      </c>
      <c r="T6" s="9">
        <f t="shared" si="8"/>
        <v>5188573.9400000004</v>
      </c>
      <c r="U6" s="9">
        <f t="shared" si="9"/>
        <v>6919523.3600000003</v>
      </c>
      <c r="V6" s="8">
        <v>27</v>
      </c>
      <c r="W6" s="8">
        <v>18</v>
      </c>
      <c r="X6" s="8">
        <f t="shared" si="10"/>
        <v>9</v>
      </c>
    </row>
    <row r="7" spans="1:24" x14ac:dyDescent="0.25">
      <c r="A7" s="10" t="s">
        <v>30</v>
      </c>
      <c r="B7" s="9">
        <v>82180</v>
      </c>
      <c r="C7" s="9">
        <v>2273631</v>
      </c>
      <c r="D7" s="9">
        <v>1424038</v>
      </c>
      <c r="E7" s="9">
        <f t="shared" si="0"/>
        <v>849593</v>
      </c>
      <c r="F7" s="9">
        <f t="shared" si="1"/>
        <v>1515754</v>
      </c>
      <c r="G7" s="9">
        <f t="shared" si="2"/>
        <v>91716</v>
      </c>
      <c r="H7" s="9">
        <f t="shared" si="3"/>
        <v>93177.3</v>
      </c>
      <c r="I7" s="9">
        <f t="shared" si="4"/>
        <v>783621.09299999999</v>
      </c>
      <c r="J7" s="9">
        <f t="shared" si="5"/>
        <v>642647.6</v>
      </c>
      <c r="K7" s="9">
        <v>93023</v>
      </c>
      <c r="L7" s="16">
        <f t="shared" si="6"/>
        <v>0.87358187095001971</v>
      </c>
      <c r="M7" s="9">
        <f t="shared" si="7"/>
        <v>9317.73</v>
      </c>
      <c r="N7" s="8">
        <v>8.41</v>
      </c>
      <c r="O7" s="8">
        <v>7.82</v>
      </c>
      <c r="P7" s="8">
        <v>10</v>
      </c>
      <c r="Q7" s="8">
        <v>10.06</v>
      </c>
      <c r="R7" s="11">
        <v>0.63</v>
      </c>
      <c r="S7" s="11">
        <v>0.6099</v>
      </c>
      <c r="T7" s="9">
        <f t="shared" si="8"/>
        <v>11135977.16</v>
      </c>
      <c r="U7" s="9">
        <f t="shared" si="9"/>
        <v>12747491.140000001</v>
      </c>
      <c r="V7" s="8">
        <v>27</v>
      </c>
      <c r="W7" s="8">
        <v>18</v>
      </c>
      <c r="X7" s="8">
        <f t="shared" si="10"/>
        <v>9</v>
      </c>
    </row>
    <row r="8" spans="1:24" x14ac:dyDescent="0.25">
      <c r="A8" s="10" t="s">
        <v>31</v>
      </c>
      <c r="B8" s="9">
        <v>76749</v>
      </c>
      <c r="C8" s="9">
        <v>2343006</v>
      </c>
      <c r="D8" s="9">
        <v>1218934</v>
      </c>
      <c r="E8" s="9">
        <f t="shared" si="0"/>
        <v>1124072</v>
      </c>
      <c r="F8" s="9">
        <f t="shared" si="1"/>
        <v>1562004</v>
      </c>
      <c r="G8" s="9">
        <f t="shared" si="2"/>
        <v>343070</v>
      </c>
      <c r="H8" s="9">
        <f t="shared" si="3"/>
        <v>120082.1</v>
      </c>
      <c r="I8" s="9">
        <f t="shared" si="4"/>
        <v>886205.89800000004</v>
      </c>
      <c r="J8" s="9">
        <f t="shared" si="5"/>
        <v>550290.32999999996</v>
      </c>
      <c r="K8" s="9">
        <v>80832</v>
      </c>
      <c r="L8" s="16">
        <f t="shared" si="6"/>
        <v>0.75815995745136489</v>
      </c>
      <c r="M8" s="9">
        <f t="shared" si="7"/>
        <v>12008.210000000001</v>
      </c>
      <c r="N8" s="8">
        <v>7.38</v>
      </c>
      <c r="O8" s="8">
        <v>7.17</v>
      </c>
      <c r="P8" s="8">
        <v>10</v>
      </c>
      <c r="Q8" s="8">
        <v>8.7200000000000006</v>
      </c>
      <c r="R8" s="11">
        <v>0.71</v>
      </c>
      <c r="S8" s="11">
        <v>0.66930000000000012</v>
      </c>
      <c r="T8" s="9">
        <f t="shared" si="8"/>
        <v>8739756.7799999993</v>
      </c>
      <c r="U8" s="9">
        <f t="shared" si="9"/>
        <v>11527589.52</v>
      </c>
      <c r="V8" s="8">
        <v>27</v>
      </c>
      <c r="W8" s="8">
        <v>18</v>
      </c>
      <c r="X8" s="8">
        <f t="shared" si="10"/>
        <v>9</v>
      </c>
    </row>
    <row r="9" spans="1:24" x14ac:dyDescent="0.25">
      <c r="A9" s="10" t="s">
        <v>32</v>
      </c>
      <c r="B9" s="9">
        <v>102990</v>
      </c>
      <c r="C9" s="9">
        <v>2907274</v>
      </c>
      <c r="D9" s="9">
        <v>2016067</v>
      </c>
      <c r="E9" s="9">
        <f t="shared" si="0"/>
        <v>891207</v>
      </c>
      <c r="F9" s="9">
        <f t="shared" si="1"/>
        <v>1938182.6666666667</v>
      </c>
      <c r="G9" s="9">
        <f t="shared" si="2"/>
        <v>-77884.333333333256</v>
      </c>
      <c r="H9" s="9">
        <f t="shared" si="3"/>
        <v>99419.7</v>
      </c>
      <c r="I9" s="9">
        <f t="shared" si="4"/>
        <v>649210.64100000006</v>
      </c>
      <c r="J9" s="9">
        <f t="shared" si="5"/>
        <v>624119.39999999991</v>
      </c>
      <c r="K9" s="9">
        <v>111459</v>
      </c>
      <c r="L9" s="16">
        <f t="shared" si="6"/>
        <v>0.96531643092769437</v>
      </c>
      <c r="M9" s="9">
        <f t="shared" si="7"/>
        <v>9941.9699999999993</v>
      </c>
      <c r="N9" s="8">
        <v>6.53</v>
      </c>
      <c r="O9" s="8">
        <v>6.06</v>
      </c>
      <c r="P9" s="8">
        <v>10</v>
      </c>
      <c r="Q9" s="8">
        <v>11.98</v>
      </c>
      <c r="R9" s="11">
        <v>0.68</v>
      </c>
      <c r="S9" s="11">
        <v>0.70129999999999992</v>
      </c>
      <c r="T9" s="9">
        <f t="shared" si="8"/>
        <v>12217366.02</v>
      </c>
      <c r="U9" s="9">
        <f t="shared" si="9"/>
        <v>12656332.813333334</v>
      </c>
      <c r="V9" s="8">
        <v>27</v>
      </c>
      <c r="W9" s="8">
        <v>18</v>
      </c>
      <c r="X9" s="8">
        <f t="shared" si="10"/>
        <v>9</v>
      </c>
    </row>
    <row r="10" spans="1:24" ht="14.25" customHeight="1" x14ac:dyDescent="0.25">
      <c r="A10" s="10" t="s">
        <v>33</v>
      </c>
      <c r="B10" s="9">
        <v>144183</v>
      </c>
      <c r="C10" s="9">
        <v>3971692</v>
      </c>
      <c r="D10" s="9">
        <v>2488399</v>
      </c>
      <c r="E10" s="9">
        <f t="shared" si="0"/>
        <v>1483293</v>
      </c>
      <c r="F10" s="9">
        <f t="shared" si="1"/>
        <v>2647794.6666666665</v>
      </c>
      <c r="G10" s="9">
        <f t="shared" si="2"/>
        <v>159395.66666666651</v>
      </c>
      <c r="H10" s="9">
        <f t="shared" si="3"/>
        <v>162747.6</v>
      </c>
      <c r="I10" s="9">
        <f t="shared" si="4"/>
        <v>1285706.04</v>
      </c>
      <c r="J10" s="9">
        <f t="shared" si="5"/>
        <v>1058303.22</v>
      </c>
      <c r="K10" s="9">
        <v>152676</v>
      </c>
      <c r="L10" s="16">
        <f t="shared" si="6"/>
        <v>0.87318181753280621</v>
      </c>
      <c r="M10" s="9">
        <f t="shared" si="7"/>
        <v>16274.76</v>
      </c>
      <c r="N10" s="8">
        <v>7.9</v>
      </c>
      <c r="O10" s="8">
        <v>7.34</v>
      </c>
      <c r="P10" s="8">
        <v>10</v>
      </c>
      <c r="Q10" s="8">
        <v>10.07</v>
      </c>
      <c r="R10" s="11">
        <v>0.68</v>
      </c>
      <c r="S10" s="11">
        <v>0.68900000000000006</v>
      </c>
      <c r="T10" s="9">
        <f t="shared" si="8"/>
        <v>18264848.66</v>
      </c>
      <c r="U10" s="9">
        <f t="shared" si="9"/>
        <v>20917577.866666667</v>
      </c>
      <c r="V10" s="8">
        <v>27</v>
      </c>
      <c r="W10" s="8">
        <v>18</v>
      </c>
      <c r="X10" s="8">
        <f t="shared" si="10"/>
        <v>9</v>
      </c>
    </row>
    <row r="11" spans="1:24" ht="14.25" customHeight="1" thickBot="1" x14ac:dyDescent="0.3">
      <c r="A11" s="21" t="s">
        <v>34</v>
      </c>
      <c r="B11" s="22">
        <v>25725</v>
      </c>
      <c r="C11" s="22">
        <v>0</v>
      </c>
      <c r="D11" s="22">
        <v>662934</v>
      </c>
      <c r="E11" s="9">
        <f t="shared" si="0"/>
        <v>-662934</v>
      </c>
      <c r="F11" s="9">
        <f t="shared" si="1"/>
        <v>0</v>
      </c>
      <c r="G11" s="9">
        <f t="shared" si="2"/>
        <v>-662934</v>
      </c>
      <c r="H11" s="9">
        <f t="shared" si="3"/>
        <v>-63720.9</v>
      </c>
      <c r="I11" s="9">
        <f t="shared" si="4"/>
        <v>0</v>
      </c>
      <c r="J11" s="9">
        <f t="shared" si="5"/>
        <v>121936.5</v>
      </c>
      <c r="K11" s="9">
        <v>44060</v>
      </c>
      <c r="L11" s="16" t="e">
        <f t="shared" si="6"/>
        <v>#DIV/0!</v>
      </c>
      <c r="M11" s="9">
        <f t="shared" si="7"/>
        <v>-6372.09</v>
      </c>
      <c r="N11" s="18">
        <v>0</v>
      </c>
      <c r="O11" s="18">
        <v>4.74</v>
      </c>
      <c r="P11" s="18">
        <v>10</v>
      </c>
      <c r="Q11" s="18">
        <v>10.37</v>
      </c>
      <c r="R11" s="19">
        <v>0.63</v>
      </c>
      <c r="S11" s="19">
        <v>0.42340000000000011</v>
      </c>
      <c r="T11" s="9">
        <f t="shared" si="8"/>
        <v>3142307.16</v>
      </c>
      <c r="U11" s="9">
        <f t="shared" si="9"/>
        <v>0</v>
      </c>
      <c r="V11" s="18">
        <v>27</v>
      </c>
      <c r="W11" s="18">
        <v>18</v>
      </c>
      <c r="X11" s="8">
        <f t="shared" si="10"/>
        <v>9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590217</v>
      </c>
      <c r="C12" s="7">
        <f t="shared" si="11"/>
        <v>16423830</v>
      </c>
      <c r="D12" s="7">
        <f t="shared" si="11"/>
        <v>10596302</v>
      </c>
      <c r="E12" s="7">
        <f t="shared" si="11"/>
        <v>5827528</v>
      </c>
      <c r="F12" s="7">
        <f t="shared" si="11"/>
        <v>10949220</v>
      </c>
      <c r="G12" s="7">
        <f t="shared" si="11"/>
        <v>352917.99999999988</v>
      </c>
      <c r="H12" s="7">
        <f t="shared" si="3"/>
        <v>641774.5</v>
      </c>
      <c r="I12" s="7">
        <f t="shared" si="4"/>
        <v>4736295.8099999996</v>
      </c>
      <c r="J12" s="7">
        <f t="shared" si="5"/>
        <v>3832721.6437500007</v>
      </c>
      <c r="K12" s="7">
        <f>SUM(K4:K11)</f>
        <v>634012</v>
      </c>
      <c r="L12" s="12">
        <f t="shared" si="6"/>
        <v>0.85155038270932226</v>
      </c>
      <c r="M12" s="7">
        <f t="shared" si="7"/>
        <v>64177.45</v>
      </c>
      <c r="N12" s="6">
        <v>7.38</v>
      </c>
      <c r="O12" s="6">
        <f>AVERAGE(O4:O11)</f>
        <v>6.4937500000000012</v>
      </c>
      <c r="P12" s="6">
        <v>10</v>
      </c>
      <c r="Q12" s="6">
        <f>AVERAGE(Q4:Q11)</f>
        <v>10.467500000000001</v>
      </c>
      <c r="R12" s="12">
        <v>0.68630000000000002</v>
      </c>
      <c r="S12" s="12">
        <f>AVERAGE(S4:S11)</f>
        <v>0.658725</v>
      </c>
      <c r="T12" s="7">
        <f t="shared" si="8"/>
        <v>68809736.112500012</v>
      </c>
      <c r="U12" s="7">
        <f t="shared" si="9"/>
        <v>80805243.599999994</v>
      </c>
      <c r="V12" s="6">
        <v>27</v>
      </c>
      <c r="W12" s="6">
        <v>18</v>
      </c>
      <c r="X12" s="6">
        <f t="shared" si="10"/>
        <v>9</v>
      </c>
    </row>
    <row r="13" spans="1:24" ht="15.75" customHeight="1" thickTop="1" x14ac:dyDescent="0.25">
      <c r="A13" s="10" t="s">
        <v>36</v>
      </c>
      <c r="B13" s="9">
        <v>132080</v>
      </c>
      <c r="C13" s="9">
        <v>3336726</v>
      </c>
      <c r="D13" s="9">
        <v>2324852</v>
      </c>
      <c r="E13" s="9">
        <f>C13-D13</f>
        <v>1011874</v>
      </c>
      <c r="F13" s="9">
        <f>C13*W13/V13</f>
        <v>2224484</v>
      </c>
      <c r="G13" s="9">
        <f>F13-D13</f>
        <v>-100368</v>
      </c>
      <c r="H13" s="9">
        <f t="shared" si="3"/>
        <v>114395.4</v>
      </c>
      <c r="I13" s="9">
        <f t="shared" si="4"/>
        <v>479316.72600000002</v>
      </c>
      <c r="J13" s="9">
        <f t="shared" si="5"/>
        <v>508508</v>
      </c>
      <c r="K13" s="9">
        <v>116809</v>
      </c>
      <c r="L13" s="16">
        <f t="shared" si="6"/>
        <v>0.96031282987859923</v>
      </c>
      <c r="M13" s="9">
        <f t="shared" si="7"/>
        <v>11348.75</v>
      </c>
      <c r="N13" s="8">
        <v>4.1900000000000004</v>
      </c>
      <c r="O13" s="8">
        <v>3.85</v>
      </c>
      <c r="P13" s="8">
        <v>10.08</v>
      </c>
      <c r="Q13" s="8">
        <v>10.23</v>
      </c>
      <c r="R13" s="11">
        <v>0.79</v>
      </c>
      <c r="S13" s="11">
        <v>0.7498999999999999</v>
      </c>
      <c r="T13" s="9">
        <f t="shared" si="8"/>
        <v>8950680.2000000011</v>
      </c>
      <c r="U13" s="9">
        <f t="shared" si="9"/>
        <v>9320587.9600000009</v>
      </c>
      <c r="V13" s="8">
        <v>27</v>
      </c>
      <c r="W13" s="8">
        <v>18</v>
      </c>
      <c r="X13" s="8">
        <f t="shared" si="10"/>
        <v>9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10596302</v>
      </c>
      <c r="C18" s="13">
        <f>QUOTIENT(B12,10000)*10000</f>
        <v>590000</v>
      </c>
      <c r="D18" s="13">
        <f t="shared" ref="D18:D23" si="12">C18*$X$12</f>
        <v>5310000</v>
      </c>
      <c r="E18" s="13">
        <f t="shared" ref="E18:E23" si="13">$D$12+D18</f>
        <v>15906302</v>
      </c>
      <c r="F18" s="13">
        <f t="shared" ref="F18:F23" si="14">$C$12-E18</f>
        <v>517528</v>
      </c>
      <c r="M18" s="1"/>
    </row>
    <row r="19" spans="1:13" x14ac:dyDescent="0.25">
      <c r="A19" s="15" t="s">
        <v>44</v>
      </c>
      <c r="B19" s="14"/>
      <c r="C19" s="13">
        <f>C18+35000</f>
        <v>625000</v>
      </c>
      <c r="D19" s="13">
        <f t="shared" si="12"/>
        <v>5625000</v>
      </c>
      <c r="E19" s="13">
        <f t="shared" si="13"/>
        <v>16221302</v>
      </c>
      <c r="F19" s="13">
        <f t="shared" si="14"/>
        <v>202528</v>
      </c>
      <c r="M19" s="1"/>
    </row>
    <row r="20" spans="1:13" x14ac:dyDescent="0.25">
      <c r="A20" s="15" t="s">
        <v>44</v>
      </c>
      <c r="B20" s="14"/>
      <c r="C20" s="13">
        <f>C19+35000</f>
        <v>660000</v>
      </c>
      <c r="D20" s="13">
        <f t="shared" si="12"/>
        <v>5940000</v>
      </c>
      <c r="E20" s="13">
        <f t="shared" si="13"/>
        <v>16536302</v>
      </c>
      <c r="F20" s="13">
        <f t="shared" si="14"/>
        <v>-112472</v>
      </c>
    </row>
    <row r="21" spans="1:13" x14ac:dyDescent="0.25">
      <c r="A21" s="15" t="s">
        <v>44</v>
      </c>
      <c r="B21" s="14"/>
      <c r="C21" s="13">
        <f>C20+35000</f>
        <v>695000</v>
      </c>
      <c r="D21" s="13">
        <f t="shared" si="12"/>
        <v>6255000</v>
      </c>
      <c r="E21" s="13">
        <f t="shared" si="13"/>
        <v>16851302</v>
      </c>
      <c r="F21" s="13">
        <f t="shared" si="14"/>
        <v>-427472</v>
      </c>
    </row>
    <row r="22" spans="1:13" x14ac:dyDescent="0.25">
      <c r="A22" s="15" t="s">
        <v>44</v>
      </c>
      <c r="B22" s="14"/>
      <c r="C22" s="13">
        <f>C21+35000</f>
        <v>730000</v>
      </c>
      <c r="D22" s="13">
        <f t="shared" si="12"/>
        <v>6570000</v>
      </c>
      <c r="E22" s="13">
        <f t="shared" si="13"/>
        <v>17166302</v>
      </c>
      <c r="F22" s="13">
        <f t="shared" si="14"/>
        <v>-742472</v>
      </c>
    </row>
    <row r="23" spans="1:13" x14ac:dyDescent="0.25">
      <c r="A23" s="15" t="s">
        <v>44</v>
      </c>
      <c r="B23" s="14"/>
      <c r="C23" s="13">
        <f>C22+35000</f>
        <v>765000</v>
      </c>
      <c r="D23" s="13">
        <f t="shared" si="12"/>
        <v>6885000</v>
      </c>
      <c r="E23" s="13">
        <f t="shared" si="13"/>
        <v>17481302</v>
      </c>
      <c r="F23" s="13">
        <f t="shared" si="14"/>
        <v>-1057472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2025-12-22T05:32:41Z</dcterms:modified>
</cp:coreProperties>
</file>