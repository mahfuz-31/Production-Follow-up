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2. Dec\"/>
    </mc:Choice>
  </mc:AlternateContent>
  <xr:revisionPtr revIDLastSave="0" documentId="13_ncr:1_{E861CF43-BEDC-4FCF-BB3A-288B3DA52152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X13" i="1"/>
  <c r="T13" i="1"/>
  <c r="J13" i="1"/>
  <c r="F13" i="1"/>
  <c r="U13" i="1" s="1"/>
  <c r="L13" i="1" s="1"/>
  <c r="E13" i="1"/>
  <c r="H13" i="1" s="1"/>
  <c r="X12" i="1"/>
  <c r="S12" i="1"/>
  <c r="Q12" i="1"/>
  <c r="O12" i="1"/>
  <c r="T12" i="1" s="1"/>
  <c r="K12" i="1"/>
  <c r="D12" i="1"/>
  <c r="B18" i="1" s="1"/>
  <c r="C12" i="1"/>
  <c r="B12" i="1"/>
  <c r="J12" i="1" s="1"/>
  <c r="X11" i="1"/>
  <c r="H11" i="1" s="1"/>
  <c r="M11" i="1" s="1"/>
  <c r="T11" i="1"/>
  <c r="J11" i="1"/>
  <c r="F11" i="1"/>
  <c r="U11" i="1" s="1"/>
  <c r="L11" i="1" s="1"/>
  <c r="E11" i="1"/>
  <c r="X10" i="1"/>
  <c r="H10" i="1" s="1"/>
  <c r="T10" i="1"/>
  <c r="J10" i="1"/>
  <c r="F10" i="1"/>
  <c r="U10" i="1" s="1"/>
  <c r="L10" i="1" s="1"/>
  <c r="E10" i="1"/>
  <c r="X9" i="1"/>
  <c r="T9" i="1"/>
  <c r="J9" i="1"/>
  <c r="F9" i="1"/>
  <c r="U9" i="1" s="1"/>
  <c r="E9" i="1"/>
  <c r="H9" i="1" s="1"/>
  <c r="X8" i="1"/>
  <c r="T8" i="1"/>
  <c r="J8" i="1"/>
  <c r="F8" i="1"/>
  <c r="G8" i="1" s="1"/>
  <c r="E8" i="1"/>
  <c r="H8" i="1" s="1"/>
  <c r="X7" i="1"/>
  <c r="H7" i="1" s="1"/>
  <c r="M7" i="1" s="1"/>
  <c r="T7" i="1"/>
  <c r="J7" i="1"/>
  <c r="F7" i="1"/>
  <c r="U7" i="1" s="1"/>
  <c r="L7" i="1" s="1"/>
  <c r="E7" i="1"/>
  <c r="X6" i="1"/>
  <c r="H6" i="1" s="1"/>
  <c r="T6" i="1"/>
  <c r="J6" i="1"/>
  <c r="F6" i="1"/>
  <c r="U6" i="1" s="1"/>
  <c r="L6" i="1" s="1"/>
  <c r="E6" i="1"/>
  <c r="X5" i="1"/>
  <c r="T5" i="1"/>
  <c r="J5" i="1"/>
  <c r="F5" i="1"/>
  <c r="E5" i="1"/>
  <c r="X4" i="1"/>
  <c r="T4" i="1"/>
  <c r="J4" i="1"/>
  <c r="F4" i="1"/>
  <c r="G4" i="1" s="1"/>
  <c r="E4" i="1"/>
  <c r="E12" i="1" s="1"/>
  <c r="H5" i="1" l="1"/>
  <c r="H12" i="1"/>
  <c r="I12" i="1" s="1"/>
  <c r="G6" i="1"/>
  <c r="G7" i="1"/>
  <c r="G11" i="1"/>
  <c r="G10" i="1"/>
  <c r="F12" i="1"/>
  <c r="U12" i="1" s="1"/>
  <c r="L12" i="1" s="1"/>
  <c r="M12" i="1"/>
  <c r="I9" i="1"/>
  <c r="M9" i="1"/>
  <c r="I5" i="1"/>
  <c r="M5" i="1"/>
  <c r="I10" i="1"/>
  <c r="M10" i="1"/>
  <c r="I13" i="1"/>
  <c r="M13" i="1"/>
  <c r="I6" i="1"/>
  <c r="M6" i="1"/>
  <c r="M8" i="1"/>
  <c r="I8" i="1"/>
  <c r="L9" i="1"/>
  <c r="D18" i="1"/>
  <c r="E18" i="1" s="1"/>
  <c r="F18" i="1" s="1"/>
  <c r="C19" i="1"/>
  <c r="U4" i="1"/>
  <c r="L4" i="1" s="1"/>
  <c r="G5" i="1"/>
  <c r="I7" i="1"/>
  <c r="U8" i="1"/>
  <c r="L8" i="1" s="1"/>
  <c r="G9" i="1"/>
  <c r="I11" i="1"/>
  <c r="G13" i="1"/>
  <c r="A18" i="1"/>
  <c r="U5" i="1"/>
  <c r="L5" i="1" s="1"/>
  <c r="H4" i="1"/>
  <c r="G12" i="1" l="1"/>
  <c r="D19" i="1"/>
  <c r="E19" i="1" s="1"/>
  <c r="F19" i="1" s="1"/>
  <c r="C20" i="1"/>
  <c r="M4" i="1"/>
  <c r="I4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<sst xmlns="http://schemas.openxmlformats.org/spreadsheetml/2006/main" count="49" uniqueCount="45">
  <si>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</si>
  <si>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</si>
  <si>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15-Dec-25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</si>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</sst>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selection activeCell="E7" sqref="E7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88959</v>
      </c>
      <c r="C4" s="9">
        <v>3046419</v>
      </c>
      <c r="D4" s="9">
        <v>1254802</v>
      </c>
      <c r="E4" s="9">
        <f t="shared" ref="E4:E11" si="0">C4-D4</f>
        <v>1791617</v>
      </c>
      <c r="F4" s="9">
        <f t="shared" ref="F4:F11" si="1">C4*W4/V4</f>
        <v>1466794.3333333333</v>
      </c>
      <c r="G4" s="9">
        <f t="shared" ref="G4:G11" si="2">F4-D4</f>
        <v>211992.33333333326</v>
      </c>
      <c r="H4" s="9">
        <f t="shared" ref="H4:H13" si="3">(E4+B4)/(X4+1)</f>
        <v>125371.73333333334</v>
      </c>
      <c r="I4" s="9">
        <f t="shared" ref="I4:I13" si="4">H4*N4</f>
        <v>883870.71999999997</v>
      </c>
      <c r="J4" s="9">
        <f t="shared" ref="J4:J13" si="5">B4*O4</f>
        <v>625381.77</v>
      </c>
      <c r="K4" s="9">
        <v>87088</v>
      </c>
      <c r="L4" s="16">
        <f t="shared" ref="L4:L13" si="6">T4/U4</f>
        <v>0.8530454812780055</v>
      </c>
      <c r="M4" s="9">
        <f t="shared" ref="M4:M13" si="7">H4/P4</f>
        <v>12537.173333333334</v>
      </c>
      <c r="N4" s="8">
        <v>7.05</v>
      </c>
      <c r="O4" s="8">
        <v>7.03</v>
      </c>
      <c r="P4" s="8">
        <v>10</v>
      </c>
      <c r="Q4" s="8">
        <v>11</v>
      </c>
      <c r="R4" s="11">
        <v>0.7</v>
      </c>
      <c r="S4" s="11">
        <v>0.73060000000000003</v>
      </c>
      <c r="T4" s="9">
        <f t="shared" ref="T4:T13" si="8">O4*D4</f>
        <v>8821258.0600000005</v>
      </c>
      <c r="U4" s="9">
        <f t="shared" ref="U4:U13" si="9">N4*F4</f>
        <v>10340900.049999999</v>
      </c>
      <c r="V4" s="8">
        <v>27</v>
      </c>
      <c r="W4" s="8">
        <v>13</v>
      </c>
      <c r="X4" s="8">
        <f t="shared" ref="X4:X13" si="10">V4-W4</f>
        <v>14</v>
      </c>
    </row>
    <row r="5" spans="1:24" x14ac:dyDescent="0.25">
      <c r="A5" s="10" t="s">
        <v>28</v>
      </c>
      <c r="B5" s="9">
        <v>12670</v>
      </c>
      <c r="C5" s="9">
        <v>350940</v>
      </c>
      <c r="D5" s="9">
        <v>172630</v>
      </c>
      <c r="E5" s="9">
        <f t="shared" si="0"/>
        <v>178310</v>
      </c>
      <c r="F5" s="9">
        <f t="shared" si="1"/>
        <v>168971.11111111112</v>
      </c>
      <c r="G5" s="9">
        <f t="shared" si="2"/>
        <v>-3658.888888888876</v>
      </c>
      <c r="H5" s="9">
        <f t="shared" si="3"/>
        <v>12732</v>
      </c>
      <c r="I5" s="9">
        <f t="shared" si="4"/>
        <v>89760.599999999991</v>
      </c>
      <c r="J5" s="9">
        <f t="shared" si="5"/>
        <v>74372.899999999994</v>
      </c>
      <c r="K5" s="9">
        <v>8793</v>
      </c>
      <c r="L5" s="16">
        <f t="shared" si="6"/>
        <v>0.85065369910897226</v>
      </c>
      <c r="M5" s="17">
        <f t="shared" si="7"/>
        <v>1273.2</v>
      </c>
      <c r="N5" s="8">
        <v>7.05</v>
      </c>
      <c r="O5" s="8">
        <v>5.87</v>
      </c>
      <c r="P5" s="8">
        <v>10</v>
      </c>
      <c r="Q5" s="8">
        <v>11.22</v>
      </c>
      <c r="R5" s="11">
        <v>0.7</v>
      </c>
      <c r="S5" s="11">
        <v>0.75040000000000007</v>
      </c>
      <c r="T5" s="9">
        <f t="shared" si="8"/>
        <v>1013338.1</v>
      </c>
      <c r="U5" s="9">
        <f t="shared" si="9"/>
        <v>1191246.3333333335</v>
      </c>
      <c r="V5" s="8">
        <v>27</v>
      </c>
      <c r="W5" s="8">
        <v>13</v>
      </c>
      <c r="X5" s="8">
        <f t="shared" si="10"/>
        <v>14</v>
      </c>
    </row>
    <row r="6" spans="1:24" x14ac:dyDescent="0.25">
      <c r="A6" s="10" t="s">
        <v>29</v>
      </c>
      <c r="B6" s="9">
        <v>55591</v>
      </c>
      <c r="C6" s="9">
        <v>1530868</v>
      </c>
      <c r="D6" s="9">
        <v>641863</v>
      </c>
      <c r="E6" s="9">
        <f t="shared" si="0"/>
        <v>889005</v>
      </c>
      <c r="F6" s="9">
        <f t="shared" si="1"/>
        <v>737084.59259259258</v>
      </c>
      <c r="G6" s="9">
        <f t="shared" si="2"/>
        <v>95221.592592592584</v>
      </c>
      <c r="H6" s="9">
        <f t="shared" si="3"/>
        <v>62973.066666666666</v>
      </c>
      <c r="I6" s="9">
        <f t="shared" si="4"/>
        <v>426957.39199999999</v>
      </c>
      <c r="J6" s="9">
        <f t="shared" si="5"/>
        <v>338549.19</v>
      </c>
      <c r="K6" s="9">
        <v>48147</v>
      </c>
      <c r="L6" s="16">
        <f t="shared" si="6"/>
        <v>0.78219062653871763</v>
      </c>
      <c r="M6" s="9">
        <f t="shared" si="7"/>
        <v>5724.8242424242426</v>
      </c>
      <c r="N6" s="8">
        <v>6.78</v>
      </c>
      <c r="O6" s="8">
        <v>6.09</v>
      </c>
      <c r="P6" s="8">
        <v>11</v>
      </c>
      <c r="Q6" s="8">
        <v>10.66</v>
      </c>
      <c r="R6" s="11">
        <v>0.74</v>
      </c>
      <c r="S6" s="11">
        <v>0.70010000000000006</v>
      </c>
      <c r="T6" s="9">
        <f t="shared" si="8"/>
        <v>3908945.67</v>
      </c>
      <c r="U6" s="9">
        <f t="shared" si="9"/>
        <v>4997433.5377777778</v>
      </c>
      <c r="V6" s="8">
        <v>27</v>
      </c>
      <c r="W6" s="8">
        <v>13</v>
      </c>
      <c r="X6" s="8">
        <f t="shared" si="10"/>
        <v>14</v>
      </c>
    </row>
    <row r="7" spans="1:24" x14ac:dyDescent="0.25">
      <c r="A7" s="10" t="s">
        <v>30</v>
      </c>
      <c r="B7" s="9">
        <v>95506</v>
      </c>
      <c r="C7" s="9">
        <v>2273631</v>
      </c>
      <c r="D7" s="9">
        <v>1030382</v>
      </c>
      <c r="E7" s="9">
        <f t="shared" si="0"/>
        <v>1243249</v>
      </c>
      <c r="F7" s="9">
        <f t="shared" si="1"/>
        <v>1094711.2222222222</v>
      </c>
      <c r="G7" s="9">
        <f t="shared" si="2"/>
        <v>64329.222222222248</v>
      </c>
      <c r="H7" s="9">
        <f t="shared" si="3"/>
        <v>89250.333333333328</v>
      </c>
      <c r="I7" s="9">
        <f t="shared" si="4"/>
        <v>750595.30333333334</v>
      </c>
      <c r="J7" s="9">
        <f t="shared" si="5"/>
        <v>748767.04</v>
      </c>
      <c r="K7" s="9">
        <v>104281</v>
      </c>
      <c r="L7" s="16">
        <f t="shared" si="6"/>
        <v>0.87744268954002425</v>
      </c>
      <c r="M7" s="9">
        <f t="shared" si="7"/>
        <v>8925.0333333333328</v>
      </c>
      <c r="N7" s="8">
        <v>8.41</v>
      </c>
      <c r="O7" s="8">
        <v>7.84</v>
      </c>
      <c r="P7" s="8">
        <v>10</v>
      </c>
      <c r="Q7" s="8">
        <v>9.98</v>
      </c>
      <c r="R7" s="11">
        <v>0.63</v>
      </c>
      <c r="S7" s="11">
        <v>0.6089</v>
      </c>
      <c r="T7" s="9">
        <f t="shared" si="8"/>
        <v>8078194.8799999999</v>
      </c>
      <c r="U7" s="9">
        <f t="shared" si="9"/>
        <v>9206521.3788888901</v>
      </c>
      <c r="V7" s="8">
        <v>27</v>
      </c>
      <c r="W7" s="8">
        <v>13</v>
      </c>
      <c r="X7" s="8">
        <f t="shared" si="10"/>
        <v>14</v>
      </c>
    </row>
    <row r="8" spans="1:24" x14ac:dyDescent="0.25">
      <c r="A8" s="10" t="s">
        <v>31</v>
      </c>
      <c r="B8" s="9">
        <v>68769</v>
      </c>
      <c r="C8" s="9">
        <v>2343006</v>
      </c>
      <c r="D8" s="9">
        <v>862045</v>
      </c>
      <c r="E8" s="9">
        <f t="shared" si="0"/>
        <v>1480961</v>
      </c>
      <c r="F8" s="9">
        <f t="shared" si="1"/>
        <v>1128114</v>
      </c>
      <c r="G8" s="9">
        <f t="shared" si="2"/>
        <v>266069</v>
      </c>
      <c r="H8" s="9">
        <f t="shared" si="3"/>
        <v>103315.33333333333</v>
      </c>
      <c r="I8" s="9">
        <f t="shared" si="4"/>
        <v>762467.15999999992</v>
      </c>
      <c r="J8" s="9">
        <f t="shared" si="5"/>
        <v>499950.62999999995</v>
      </c>
      <c r="K8" s="9">
        <v>69122</v>
      </c>
      <c r="L8" s="16">
        <f t="shared" si="6"/>
        <v>0.75275733727788841</v>
      </c>
      <c r="M8" s="9">
        <f t="shared" si="7"/>
        <v>10331.533333333333</v>
      </c>
      <c r="N8" s="8">
        <v>7.38</v>
      </c>
      <c r="O8" s="8">
        <v>7.27</v>
      </c>
      <c r="P8" s="8">
        <v>10</v>
      </c>
      <c r="Q8" s="8">
        <v>8.6199999999999992</v>
      </c>
      <c r="R8" s="11">
        <v>0.71</v>
      </c>
      <c r="S8" s="11">
        <v>0.66510000000000002</v>
      </c>
      <c r="T8" s="9">
        <f t="shared" si="8"/>
        <v>6267067.1499999994</v>
      </c>
      <c r="U8" s="9">
        <f t="shared" si="9"/>
        <v>8325481.3200000003</v>
      </c>
      <c r="V8" s="8">
        <v>27</v>
      </c>
      <c r="W8" s="8">
        <v>13</v>
      </c>
      <c r="X8" s="8">
        <f t="shared" si="10"/>
        <v>14</v>
      </c>
    </row>
    <row r="9" spans="1:24" x14ac:dyDescent="0.25">
      <c r="A9" s="10" t="s">
        <v>32</v>
      </c>
      <c r="B9" s="9">
        <v>129434</v>
      </c>
      <c r="C9" s="9">
        <v>2907274</v>
      </c>
      <c r="D9" s="9">
        <v>1489748</v>
      </c>
      <c r="E9" s="9">
        <f t="shared" si="0"/>
        <v>1417526</v>
      </c>
      <c r="F9" s="9">
        <f t="shared" si="1"/>
        <v>1399798.5925925926</v>
      </c>
      <c r="G9" s="9">
        <f t="shared" si="2"/>
        <v>-89949.407407407416</v>
      </c>
      <c r="H9" s="9">
        <f t="shared" si="3"/>
        <v>103130.66666666667</v>
      </c>
      <c r="I9" s="9">
        <f t="shared" si="4"/>
        <v>673443.25333333341</v>
      </c>
      <c r="J9" s="9">
        <f t="shared" si="5"/>
        <v>766249.28</v>
      </c>
      <c r="K9" s="9">
        <v>131203</v>
      </c>
      <c r="L9" s="16">
        <f t="shared" si="6"/>
        <v>0.96484107522326301</v>
      </c>
      <c r="M9" s="9">
        <f t="shared" si="7"/>
        <v>10313.066666666668</v>
      </c>
      <c r="N9" s="8">
        <v>6.53</v>
      </c>
      <c r="O9" s="8">
        <v>5.92</v>
      </c>
      <c r="P9" s="8">
        <v>10</v>
      </c>
      <c r="Q9" s="8">
        <v>11.54</v>
      </c>
      <c r="R9" s="11">
        <v>0.68</v>
      </c>
      <c r="S9" s="11">
        <v>0.71750000000000003</v>
      </c>
      <c r="T9" s="9">
        <f t="shared" si="8"/>
        <v>8819308.1600000001</v>
      </c>
      <c r="U9" s="9">
        <f t="shared" si="9"/>
        <v>9140684.8096296303</v>
      </c>
      <c r="V9" s="8">
        <v>27</v>
      </c>
      <c r="W9" s="8">
        <v>13</v>
      </c>
      <c r="X9" s="8">
        <f t="shared" si="10"/>
        <v>14</v>
      </c>
    </row>
    <row r="10" spans="1:24" ht="14.25" customHeight="1" x14ac:dyDescent="0.25">
      <c r="A10" s="10" t="s">
        <v>33</v>
      </c>
      <c r="B10" s="9">
        <v>150496</v>
      </c>
      <c r="C10" s="9">
        <v>3971692</v>
      </c>
      <c r="D10" s="9">
        <v>1790697</v>
      </c>
      <c r="E10" s="9">
        <f t="shared" si="0"/>
        <v>2180995</v>
      </c>
      <c r="F10" s="9">
        <f t="shared" si="1"/>
        <v>1912296.1481481481</v>
      </c>
      <c r="G10" s="9">
        <f t="shared" si="2"/>
        <v>121599.14814814809</v>
      </c>
      <c r="H10" s="9">
        <f t="shared" si="3"/>
        <v>155432.73333333334</v>
      </c>
      <c r="I10" s="9">
        <f t="shared" si="4"/>
        <v>1227918.5933333335</v>
      </c>
      <c r="J10" s="9">
        <f t="shared" si="5"/>
        <v>1110660.48</v>
      </c>
      <c r="K10" s="9">
        <v>157197</v>
      </c>
      <c r="L10" s="16">
        <f t="shared" si="6"/>
        <v>0.87477472478769247</v>
      </c>
      <c r="M10" s="9">
        <f t="shared" si="7"/>
        <v>15543.273333333334</v>
      </c>
      <c r="N10" s="8">
        <v>7.9</v>
      </c>
      <c r="O10" s="8">
        <v>7.38</v>
      </c>
      <c r="P10" s="8">
        <v>10</v>
      </c>
      <c r="Q10" s="8">
        <v>9.92</v>
      </c>
      <c r="R10" s="11">
        <v>0.68</v>
      </c>
      <c r="S10" s="11">
        <v>0.69169999999999998</v>
      </c>
      <c r="T10" s="9">
        <f t="shared" si="8"/>
        <v>13215343.859999999</v>
      </c>
      <c r="U10" s="9">
        <f t="shared" si="9"/>
        <v>15107139.570370371</v>
      </c>
      <c r="V10" s="8">
        <v>27</v>
      </c>
      <c r="W10" s="8">
        <v>13</v>
      </c>
      <c r="X10" s="8">
        <f t="shared" si="10"/>
        <v>14</v>
      </c>
    </row>
    <row r="11" spans="1:24" ht="14.25" customHeight="1" thickBot="1" x14ac:dyDescent="0.3">
      <c r="A11" s="21" t="s">
        <v>34</v>
      </c>
      <c r="B11" s="22">
        <v>27510</v>
      </c>
      <c r="C11" s="22">
        <v>0</v>
      </c>
      <c r="D11" s="22">
        <v>520021</v>
      </c>
      <c r="E11" s="9">
        <f t="shared" si="0"/>
        <v>-520021</v>
      </c>
      <c r="F11" s="9">
        <f t="shared" si="1"/>
        <v>0</v>
      </c>
      <c r="G11" s="9">
        <f t="shared" si="2"/>
        <v>-520021</v>
      </c>
      <c r="H11" s="9">
        <f t="shared" si="3"/>
        <v>-32834.066666666666</v>
      </c>
      <c r="I11" s="9">
        <f t="shared" si="4"/>
        <v>0</v>
      </c>
      <c r="J11" s="9">
        <f t="shared" si="5"/>
        <v>130947.59999999999</v>
      </c>
      <c r="K11" s="9">
        <v>43519</v>
      </c>
      <c r="L11" s="16" t="e">
        <f t="shared" si="6"/>
        <v>#DIV/0!</v>
      </c>
      <c r="M11" s="9">
        <f t="shared" si="7"/>
        <v>-3283.4066666666668</v>
      </c>
      <c r="N11" s="18">
        <v>0</v>
      </c>
      <c r="O11" s="18">
        <v>4.76</v>
      </c>
      <c r="P11" s="18">
        <v>10</v>
      </c>
      <c r="Q11" s="18">
        <v>10.52</v>
      </c>
      <c r="R11" s="19">
        <v>0.63</v>
      </c>
      <c r="S11" s="19">
        <v>0.4496</v>
      </c>
      <c r="T11" s="9">
        <f t="shared" si="8"/>
        <v>2475299.96</v>
      </c>
      <c r="U11" s="9">
        <f t="shared" si="9"/>
        <v>0</v>
      </c>
      <c r="V11" s="18">
        <v>27</v>
      </c>
      <c r="W11" s="18">
        <v>13</v>
      </c>
      <c r="X11" s="8">
        <f t="shared" si="10"/>
        <v>14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628935</v>
      </c>
      <c r="C12" s="7">
        <f t="shared" si="11"/>
        <v>16423830</v>
      </c>
      <c r="D12" s="7">
        <f t="shared" si="11"/>
        <v>7762188</v>
      </c>
      <c r="E12" s="7">
        <f t="shared" si="11"/>
        <v>8661642</v>
      </c>
      <c r="F12" s="7">
        <f t="shared" si="11"/>
        <v>7907770</v>
      </c>
      <c r="G12" s="7">
        <f t="shared" si="11"/>
        <v>145581.99999999988</v>
      </c>
      <c r="H12" s="7">
        <f t="shared" si="3"/>
        <v>619371.80000000005</v>
      </c>
      <c r="I12" s="7">
        <f t="shared" si="4"/>
        <v>4570963.8840000005</v>
      </c>
      <c r="J12" s="7">
        <f t="shared" si="5"/>
        <v>4100656.2</v>
      </c>
      <c r="K12" s="7">
        <f>SUM(K4:K11)</f>
        <v>649350</v>
      </c>
      <c r="L12" s="12">
        <f t="shared" si="6"/>
        <v>0.86720417854741227</v>
      </c>
      <c r="M12" s="7">
        <f t="shared" si="7"/>
        <v>61937.180000000008</v>
      </c>
      <c r="N12" s="6">
        <v>7.38</v>
      </c>
      <c r="O12" s="6">
        <f>AVERAGE(O4:O11)</f>
        <v>6.5200000000000005</v>
      </c>
      <c r="P12" s="6">
        <v>10</v>
      </c>
      <c r="Q12" s="6">
        <f>AVERAGE(Q4:Q11)</f>
        <v>10.432499999999999</v>
      </c>
      <c r="R12" s="12">
        <v>0.68630000000000002</v>
      </c>
      <c r="S12" s="12">
        <f>AVERAGE(S4:S11)</f>
        <v>0.66423750000000004</v>
      </c>
      <c r="T12" s="7">
        <f t="shared" si="8"/>
        <v>50609465.760000005</v>
      </c>
      <c r="U12" s="7">
        <f t="shared" si="9"/>
        <v>58359342.600000001</v>
      </c>
      <c r="V12" s="6">
        <v>27</v>
      </c>
      <c r="W12" s="6">
        <v>13</v>
      </c>
      <c r="X12" s="6">
        <f t="shared" si="10"/>
        <v>14</v>
      </c>
    </row>
    <row r="13" spans="1:24" ht="15.75" customHeight="1" thickTop="1" x14ac:dyDescent="0.25">
      <c r="A13" s="10" t="s">
        <v>36</v>
      </c>
      <c r="B13" s="9">
        <v>130344</v>
      </c>
      <c r="C13" s="9">
        <v>3336726</v>
      </c>
      <c r="D13" s="9">
        <v>1675291</v>
      </c>
      <c r="E13" s="9">
        <f>C13-D13</f>
        <v>1661435</v>
      </c>
      <c r="F13" s="9">
        <f>C13*W13/V13</f>
        <v>1606571.7777777778</v>
      </c>
      <c r="G13" s="9">
        <f>F13-D13</f>
        <v>-68719.222222222248</v>
      </c>
      <c r="H13" s="9">
        <f t="shared" si="3"/>
        <v>119451.93333333333</v>
      </c>
      <c r="I13" s="9">
        <f t="shared" si="4"/>
        <v>500503.60066666669</v>
      </c>
      <c r="J13" s="9">
        <f t="shared" si="5"/>
        <v>496610.64</v>
      </c>
      <c r="K13" s="9">
        <v>122212</v>
      </c>
      <c r="L13" s="16">
        <f t="shared" si="6"/>
        <v>0.94820245306630924</v>
      </c>
      <c r="M13" s="9">
        <f t="shared" si="7"/>
        <v>11850.390211640211</v>
      </c>
      <c r="N13" s="8">
        <v>4.1900000000000004</v>
      </c>
      <c r="O13" s="8">
        <v>3.81</v>
      </c>
      <c r="P13" s="8">
        <v>10.08</v>
      </c>
      <c r="Q13" s="8">
        <v>10.07</v>
      </c>
      <c r="R13" s="11">
        <v>0.79</v>
      </c>
      <c r="S13" s="11">
        <v>0.74879999999999991</v>
      </c>
      <c r="T13" s="9">
        <f t="shared" si="8"/>
        <v>6382858.71</v>
      </c>
      <c r="U13" s="9">
        <f t="shared" si="9"/>
        <v>6731535.7488888893</v>
      </c>
      <c r="V13" s="8">
        <v>27</v>
      </c>
      <c r="W13" s="8">
        <v>13</v>
      </c>
      <c r="X13" s="8">
        <f t="shared" si="10"/>
        <v>14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16423830</v>
      </c>
      <c r="B18" s="13">
        <f>D12</f>
        <v>7762188</v>
      </c>
      <c r="C18" s="13">
        <f>QUOTIENT(B12,10000)*10000</f>
        <v>620000</v>
      </c>
      <c r="D18" s="13">
        <f t="shared" ref="D18:D23" si="12">C18*$X$12</f>
        <v>8680000</v>
      </c>
      <c r="E18" s="13">
        <f t="shared" ref="E18:E23" si="13">$D$12+D18</f>
        <v>16442188</v>
      </c>
      <c r="F18" s="13">
        <f t="shared" ref="F18:F23" si="14">$C$12-E18</f>
        <v>-18358</v>
      </c>
      <c r="M18" s="1"/>
    </row>
    <row r="19" spans="1:13" x14ac:dyDescent="0.25">
      <c r="A19" s="15" t="s">
        <v>44</v>
      </c>
      <c r="B19" s="14"/>
      <c r="C19" s="13">
        <f>C18+35000</f>
        <v>655000</v>
      </c>
      <c r="D19" s="13">
        <f t="shared" si="12"/>
        <v>9170000</v>
      </c>
      <c r="E19" s="13">
        <f t="shared" si="13"/>
        <v>16932188</v>
      </c>
      <c r="F19" s="13">
        <f t="shared" si="14"/>
        <v>-508358</v>
      </c>
      <c r="M19" s="1"/>
    </row>
    <row r="20" spans="1:13" x14ac:dyDescent="0.25">
      <c r="A20" s="15" t="s">
        <v>44</v>
      </c>
      <c r="B20" s="14"/>
      <c r="C20" s="13">
        <f>C19+35000</f>
        <v>690000</v>
      </c>
      <c r="D20" s="13">
        <f t="shared" si="12"/>
        <v>9660000</v>
      </c>
      <c r="E20" s="13">
        <f t="shared" si="13"/>
        <v>17422188</v>
      </c>
      <c r="F20" s="13">
        <f t="shared" si="14"/>
        <v>-998358</v>
      </c>
    </row>
    <row r="21" spans="1:13" x14ac:dyDescent="0.25">
      <c r="A21" s="15" t="s">
        <v>44</v>
      </c>
      <c r="B21" s="14"/>
      <c r="C21" s="13">
        <f>C20+35000</f>
        <v>725000</v>
      </c>
      <c r="D21" s="13">
        <f t="shared" si="12"/>
        <v>10150000</v>
      </c>
      <c r="E21" s="13">
        <f t="shared" si="13"/>
        <v>17912188</v>
      </c>
      <c r="F21" s="13">
        <f t="shared" si="14"/>
        <v>-1488358</v>
      </c>
    </row>
    <row r="22" spans="1:13" x14ac:dyDescent="0.25">
      <c r="A22" s="15" t="s">
        <v>44</v>
      </c>
      <c r="B22" s="14"/>
      <c r="C22" s="13">
        <f>C21+35000</f>
        <v>760000</v>
      </c>
      <c r="D22" s="13">
        <f t="shared" si="12"/>
        <v>10640000</v>
      </c>
      <c r="E22" s="13">
        <f t="shared" si="13"/>
        <v>18402188</v>
      </c>
      <c r="F22" s="13">
        <f t="shared" si="14"/>
        <v>-1978358</v>
      </c>
    </row>
    <row r="23" spans="1:13" x14ac:dyDescent="0.25">
      <c r="A23" s="15" t="s">
        <v>44</v>
      </c>
      <c r="B23" s="14"/>
      <c r="C23" s="13">
        <f>C22+35000</f>
        <v>795000</v>
      </c>
      <c r="D23" s="13">
        <f t="shared" si="12"/>
        <v>11130000</v>
      </c>
      <c r="E23" s="13">
        <f t="shared" si="13"/>
        <v>18892188</v>
      </c>
      <c r="F23" s="13">
        <f t="shared" si="14"/>
        <v>-2468358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2025-12-17T05:32:10Z</dcterms:modified>
</cp:coreProperties>
</file>