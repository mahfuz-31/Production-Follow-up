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"/>
    </mc:Choice>
  </mc:AlternateContent>
  <xr:revisionPtr revIDLastSave="0" documentId="13_ncr:1_{3A6DAA9B-1861-495D-A999-32CC1AD127F1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1" l="1"/>
  <c r="H11" i="1" s="1"/>
  <c r="I11" i="1" s="1"/>
  <c r="T11" i="1"/>
  <c r="E11" i="1"/>
  <c r="F11" i="1"/>
  <c r="G11" i="1" s="1"/>
  <c r="J11" i="1"/>
  <c r="B12" i="1"/>
  <c r="C18" i="1" s="1"/>
  <c r="C12" i="1"/>
  <c r="D12" i="1"/>
  <c r="K12" i="1"/>
  <c r="O12" i="1"/>
  <c r="Q12" i="1"/>
  <c r="S12" i="1"/>
  <c r="X12" i="1"/>
  <c r="F10" i="1"/>
  <c r="U10" i="1" s="1"/>
  <c r="E8" i="1"/>
  <c r="T5" i="1"/>
  <c r="T6" i="1"/>
  <c r="T7" i="1"/>
  <c r="T8" i="1"/>
  <c r="T9" i="1"/>
  <c r="T10" i="1"/>
  <c r="T4" i="1"/>
  <c r="B2" i="1"/>
  <c r="X5" i="1"/>
  <c r="X6" i="1"/>
  <c r="X7" i="1"/>
  <c r="X8" i="1"/>
  <c r="X9" i="1"/>
  <c r="X10" i="1"/>
  <c r="X4" i="1"/>
  <c r="J5" i="1"/>
  <c r="J6" i="1"/>
  <c r="J7" i="1"/>
  <c r="J8" i="1"/>
  <c r="J9" i="1"/>
  <c r="J10" i="1"/>
  <c r="J4" i="1"/>
  <c r="F5" i="1"/>
  <c r="U5" i="1" s="1"/>
  <c r="F6" i="1"/>
  <c r="G6" i="1" s="1"/>
  <c r="F8" i="1"/>
  <c r="U8" i="1" s="1"/>
  <c r="E5" i="1"/>
  <c r="E6" i="1"/>
  <c r="E7" i="1"/>
  <c r="E10" i="1"/>
  <c r="J12" i="1" l="1"/>
  <c r="D18" i="1"/>
  <c r="U11" i="1"/>
  <c r="L11" i="1" s="1"/>
  <c r="M11" i="1"/>
  <c r="A18" i="1"/>
  <c r="T12" i="1"/>
  <c r="F7" i="1"/>
  <c r="U7" i="1" s="1"/>
  <c r="L7" i="1" s="1"/>
  <c r="E9" i="1"/>
  <c r="H9" i="1" s="1"/>
  <c r="I9" i="1" s="1"/>
  <c r="F9" i="1"/>
  <c r="U9" i="1" s="1"/>
  <c r="L9" i="1" s="1"/>
  <c r="E4" i="1"/>
  <c r="F4" i="1"/>
  <c r="L8" i="1"/>
  <c r="H8" i="1"/>
  <c r="I8" i="1" s="1"/>
  <c r="L5" i="1"/>
  <c r="B18" i="1"/>
  <c r="E18" i="1"/>
  <c r="F18" i="1" s="1"/>
  <c r="C19" i="1"/>
  <c r="L10" i="1"/>
  <c r="H5" i="1"/>
  <c r="I5" i="1" s="1"/>
  <c r="G10" i="1"/>
  <c r="U6" i="1"/>
  <c r="L6" i="1" s="1"/>
  <c r="H10" i="1"/>
  <c r="H7" i="1"/>
  <c r="G5" i="1"/>
  <c r="H6" i="1"/>
  <c r="G8" i="1"/>
  <c r="G7" i="1" l="1"/>
  <c r="G4" i="1"/>
  <c r="F12" i="1"/>
  <c r="U12" i="1" s="1"/>
  <c r="L12" i="1" s="1"/>
  <c r="E12" i="1"/>
  <c r="H12" i="1" s="1"/>
  <c r="H4" i="1"/>
  <c r="I4" i="1" s="1"/>
  <c r="G9" i="1"/>
  <c r="U4" i="1"/>
  <c r="L4" i="1" s="1"/>
  <c r="M9" i="1"/>
  <c r="M8" i="1"/>
  <c r="D19" i="1"/>
  <c r="C20" i="1"/>
  <c r="M5" i="1"/>
  <c r="I7" i="1"/>
  <c r="M7" i="1"/>
  <c r="I6" i="1"/>
  <c r="M6" i="1"/>
  <c r="I10" i="1"/>
  <c r="M10" i="1"/>
  <c r="M12" i="1" l="1"/>
  <c r="I12" i="1"/>
  <c r="G12" i="1"/>
  <c r="M4" i="1"/>
  <c r="E19" i="1"/>
  <c r="F19" i="1" s="1"/>
  <c r="C21" i="1"/>
  <c r="D20" i="1"/>
  <c r="E20" i="1" l="1"/>
  <c r="F20" i="1" s="1"/>
  <c r="C22" i="1"/>
  <c r="D21" i="1"/>
  <c r="E21" i="1" l="1"/>
  <c r="F21" i="1" s="1"/>
  <c r="C23" i="1"/>
  <c r="D23" i="1" s="1"/>
  <c r="D22" i="1"/>
  <c r="E22" i="1" l="1"/>
  <c r="F22" i="1" s="1"/>
  <c r="E23" i="1"/>
  <c r="F23" i="1" s="1"/>
</calcChain>
</file>

<file path=xl/sharedStrings.xml><?xml version="1.0" encoding="utf-8"?>
<sst xmlns="http://schemas.openxmlformats.org/spreadsheetml/2006/main" count="47" uniqueCount="43">
  <si>
    <t>Production Unit</t>
  </si>
  <si>
    <t>QC Pass (Pcs)</t>
  </si>
  <si>
    <t>Plan (Pcs)</t>
  </si>
  <si>
    <t>Average Requirement as per Plan</t>
  </si>
  <si>
    <t>Average target in minutes</t>
  </si>
  <si>
    <t>QC Pass in minutes</t>
  </si>
  <si>
    <t>Factory Target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</si>
  <si>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</si>
  <si>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</si>
  <si>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</si>
  <si>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</si>
  <si>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</si>
  <si>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</si>
  <si>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</si>
  <si>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</si>
  <si>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</si>
  <si>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</si>
  <si>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</si>
  <si>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</si>
  <si>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JFL</t>
  </si>
  <si>
    <t>JKL</t>
  </si>
  <si>
    <t>MFL</t>
  </si>
  <si>
    <t>FFL2</t>
  </si>
  <si>
    <t>JKL-U2</t>
  </si>
  <si>
    <t>Accu. QC Pass</t>
  </si>
  <si>
    <t>Plan Balance</t>
  </si>
  <si>
    <t>Required Prod upto yesterday</t>
  </si>
  <si>
    <t>Back Log upto yesterday</t>
  </si>
  <si>
    <t>Required Hr</t>
  </si>
  <si>
    <t>Plan Achv % (monthly, minute based)</t>
  </si>
  <si>
    <t>Plan vs Achievement</t>
  </si>
  <si>
    <t xml:space="preserve">Date: 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</si>
  <si>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</si>
  <si>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</si>
  <si>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</si>
  <si>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</si>
  <si>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</si>
  <si>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</si>
  <si>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</si>
  <si>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</si>
  <si>
    <t>GTAL</t>
  </si>
  <si>
    <t>LIN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</si>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</sst>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6C0E0004-EF1A-4FCF-A451-5ACC22D75C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C6" sqref="C6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x14ac:dyDescent="0.55000000000000004">
      <c r="A1" s="19" t="s">
        <v>30</v>
      </c>
    </row>
    <row r="2" spans="1:24" ht="15.75" thickBot="1" x14ac:dyDescent="0.3">
      <c r="A2" s="3" t="s">
        <v>31</v>
      </c>
      <c r="B2" s="4">
        <f ca="1">TODAY() - 1</f>
        <v>46022</v>
      </c>
    </row>
    <row r="3" spans="1:24" ht="76.5" thickTop="1" thickBot="1" x14ac:dyDescent="0.3">
      <c r="A3" s="6" t="s">
        <v>0</v>
      </c>
      <c r="B3" s="6" t="s">
        <v>1</v>
      </c>
      <c r="C3" s="6" t="s">
        <v>2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29</v>
      </c>
      <c r="M3" s="6" t="s">
        <v>28</v>
      </c>
      <c r="N3" s="6" t="s">
        <v>7</v>
      </c>
      <c r="O3" s="6" t="s">
        <v>8</v>
      </c>
      <c r="P3" s="6" t="s">
        <v>9</v>
      </c>
      <c r="Q3" s="6" t="s">
        <v>10</v>
      </c>
      <c r="R3" s="6" t="s">
        <v>11</v>
      </c>
      <c r="S3" s="6" t="s">
        <v>12</v>
      </c>
      <c r="T3" s="6" t="s">
        <v>13</v>
      </c>
      <c r="U3" s="6" t="s">
        <v>14</v>
      </c>
      <c r="V3" s="6" t="s">
        <v>15</v>
      </c>
      <c r="W3" s="6" t="s">
        <v>16</v>
      </c>
      <c r="X3" s="6" t="s">
        <v>17</v>
      </c>
    </row>
    <row r="4" spans="1:24" ht="15.75" thickTop="1" x14ac:dyDescent="0.25">
      <c r="A4" s="10" t="s">
        <v>18</v>
      </c>
      <c r="B4" s="9"/>
      <c r="C4" s="9">
        <v>2724653</v>
      </c>
      <c r="D4" s="9"/>
      <c r="E4" s="9">
        <f>C4-D4</f>
        <v>2724653</v>
      </c>
      <c r="F4" s="9">
        <f>C4*W4/V4</f>
        <v>0</v>
      </c>
      <c r="G4" s="9">
        <f>F4-D4</f>
        <v>0</v>
      </c>
      <c r="H4" s="9">
        <f>(E4+B4)/(X4+1)</f>
        <v>97309.03571428571</v>
      </c>
      <c r="I4" s="9">
        <f>H4*N4</f>
        <v>686028.70178571425</v>
      </c>
      <c r="J4" s="9">
        <f>B4*O4</f>
        <v>0</v>
      </c>
      <c r="K4" s="9"/>
      <c r="L4" s="16" t="e">
        <f>T4/U4</f>
        <v>#DIV/0!</v>
      </c>
      <c r="M4" s="9">
        <f>H4/P4</f>
        <v>9730.903571428571</v>
      </c>
      <c r="N4" s="8">
        <v>7.05</v>
      </c>
      <c r="O4" s="8"/>
      <c r="P4" s="8">
        <v>10</v>
      </c>
      <c r="Q4" s="8"/>
      <c r="R4" s="11">
        <v>0.7</v>
      </c>
      <c r="S4" s="11"/>
      <c r="T4" s="9">
        <f>O4*D4</f>
        <v>0</v>
      </c>
      <c r="U4" s="9">
        <f>N4*F4</f>
        <v>0</v>
      </c>
      <c r="V4" s="8">
        <v>27</v>
      </c>
      <c r="W4" s="8"/>
      <c r="X4" s="8">
        <f>V4-W4</f>
        <v>27</v>
      </c>
    </row>
    <row r="5" spans="1:24" x14ac:dyDescent="0.25">
      <c r="A5" s="10" t="s">
        <v>19</v>
      </c>
      <c r="B5" s="9"/>
      <c r="C5" s="9">
        <v>1530868</v>
      </c>
      <c r="D5" s="9"/>
      <c r="E5" s="9">
        <f t="shared" ref="E5:E9" si="0">C5-D5</f>
        <v>1530868</v>
      </c>
      <c r="F5" s="9">
        <f t="shared" ref="F5:F9" si="1">C5*W5/V5</f>
        <v>0</v>
      </c>
      <c r="G5" s="9">
        <f t="shared" ref="G5:G9" si="2">F5-D5</f>
        <v>0</v>
      </c>
      <c r="H5" s="9">
        <f t="shared" ref="H5:H9" si="3">(E5+B5)/(X5+1)</f>
        <v>54673.857142857145</v>
      </c>
      <c r="I5" s="9">
        <f t="shared" ref="I5:I9" si="4">H5*N5</f>
        <v>370688.75142857147</v>
      </c>
      <c r="J5" s="9">
        <f t="shared" ref="J5:J9" si="5">B5*O5</f>
        <v>0</v>
      </c>
      <c r="K5" s="9"/>
      <c r="L5" s="16" t="e">
        <f t="shared" ref="L5:L9" si="6">T5/U5</f>
        <v>#DIV/0!</v>
      </c>
      <c r="M5" s="9">
        <f t="shared" ref="M5:M9" si="7">H5/P5</f>
        <v>4970.3506493506493</v>
      </c>
      <c r="N5" s="8">
        <v>6.78</v>
      </c>
      <c r="O5" s="8"/>
      <c r="P5" s="8">
        <v>11</v>
      </c>
      <c r="Q5" s="8"/>
      <c r="R5" s="11">
        <v>0.74</v>
      </c>
      <c r="S5" s="11"/>
      <c r="T5" s="9">
        <f t="shared" ref="T5:T9" si="8">O5*D5</f>
        <v>0</v>
      </c>
      <c r="U5" s="9">
        <f t="shared" ref="U5:U9" si="9">N5*F5</f>
        <v>0</v>
      </c>
      <c r="V5" s="8">
        <v>27</v>
      </c>
      <c r="W5" s="8"/>
      <c r="X5" s="8">
        <f t="shared" ref="X5:X12" si="10">V5-W5</f>
        <v>27</v>
      </c>
    </row>
    <row r="6" spans="1:24" x14ac:dyDescent="0.25">
      <c r="A6" s="10" t="s">
        <v>20</v>
      </c>
      <c r="B6" s="9"/>
      <c r="C6" s="9">
        <v>2684219</v>
      </c>
      <c r="D6" s="9"/>
      <c r="E6" s="9">
        <f t="shared" si="0"/>
        <v>2684219</v>
      </c>
      <c r="F6" s="9">
        <f t="shared" si="1"/>
        <v>0</v>
      </c>
      <c r="G6" s="9">
        <f t="shared" si="2"/>
        <v>0</v>
      </c>
      <c r="H6" s="9">
        <f t="shared" si="3"/>
        <v>95864.96428571429</v>
      </c>
      <c r="I6" s="9">
        <f t="shared" si="4"/>
        <v>806224.34964285721</v>
      </c>
      <c r="J6" s="9">
        <f t="shared" si="5"/>
        <v>0</v>
      </c>
      <c r="K6" s="9"/>
      <c r="L6" s="16" t="e">
        <f t="shared" si="6"/>
        <v>#DIV/0!</v>
      </c>
      <c r="M6" s="9">
        <f t="shared" si="7"/>
        <v>9586.4964285714286</v>
      </c>
      <c r="N6" s="8">
        <v>8.41</v>
      </c>
      <c r="O6" s="8"/>
      <c r="P6" s="8">
        <v>10</v>
      </c>
      <c r="Q6" s="8"/>
      <c r="R6" s="11">
        <v>0.63</v>
      </c>
      <c r="S6" s="11"/>
      <c r="T6" s="9">
        <f t="shared" si="8"/>
        <v>0</v>
      </c>
      <c r="U6" s="9">
        <f t="shared" si="9"/>
        <v>0</v>
      </c>
      <c r="V6" s="8">
        <v>27</v>
      </c>
      <c r="W6" s="8"/>
      <c r="X6" s="8">
        <f t="shared" si="10"/>
        <v>27</v>
      </c>
    </row>
    <row r="7" spans="1:24" x14ac:dyDescent="0.25">
      <c r="A7" s="10" t="s">
        <v>21</v>
      </c>
      <c r="B7" s="9"/>
      <c r="C7" s="9">
        <v>2343006</v>
      </c>
      <c r="D7" s="9"/>
      <c r="E7" s="9">
        <f t="shared" si="0"/>
        <v>2343006</v>
      </c>
      <c r="F7" s="9">
        <f t="shared" si="1"/>
        <v>0</v>
      </c>
      <c r="G7" s="9">
        <f t="shared" si="2"/>
        <v>0</v>
      </c>
      <c r="H7" s="9">
        <f t="shared" si="3"/>
        <v>83678.78571428571</v>
      </c>
      <c r="I7" s="9">
        <f t="shared" si="4"/>
        <v>617549.43857142853</v>
      </c>
      <c r="J7" s="9">
        <f t="shared" si="5"/>
        <v>0</v>
      </c>
      <c r="K7" s="9"/>
      <c r="L7" s="16" t="e">
        <f t="shared" si="6"/>
        <v>#DIV/0!</v>
      </c>
      <c r="M7" s="9">
        <f t="shared" si="7"/>
        <v>8367.8785714285714</v>
      </c>
      <c r="N7" s="8">
        <v>7.38</v>
      </c>
      <c r="O7" s="8"/>
      <c r="P7" s="8">
        <v>10</v>
      </c>
      <c r="Q7" s="8"/>
      <c r="R7" s="11">
        <v>0.71</v>
      </c>
      <c r="S7" s="11"/>
      <c r="T7" s="9">
        <f t="shared" si="8"/>
        <v>0</v>
      </c>
      <c r="U7" s="9">
        <f t="shared" si="9"/>
        <v>0</v>
      </c>
      <c r="V7" s="8">
        <v>27</v>
      </c>
      <c r="W7" s="8"/>
      <c r="X7" s="8">
        <f t="shared" si="10"/>
        <v>27</v>
      </c>
    </row>
    <row r="8" spans="1:24" x14ac:dyDescent="0.25">
      <c r="A8" s="10" t="s">
        <v>22</v>
      </c>
      <c r="B8" s="9"/>
      <c r="C8" s="9">
        <v>3107863</v>
      </c>
      <c r="D8" s="9"/>
      <c r="E8" s="9">
        <f t="shared" si="0"/>
        <v>3107863</v>
      </c>
      <c r="F8" s="9">
        <f t="shared" si="1"/>
        <v>0</v>
      </c>
      <c r="G8" s="9">
        <f t="shared" si="2"/>
        <v>0</v>
      </c>
      <c r="H8" s="9">
        <f t="shared" si="3"/>
        <v>110995.10714285714</v>
      </c>
      <c r="I8" s="9">
        <f t="shared" si="4"/>
        <v>724798.04964285716</v>
      </c>
      <c r="J8" s="9">
        <f t="shared" si="5"/>
        <v>0</v>
      </c>
      <c r="K8" s="9"/>
      <c r="L8" s="16" t="e">
        <f t="shared" si="6"/>
        <v>#DIV/0!</v>
      </c>
      <c r="M8" s="9">
        <f t="shared" si="7"/>
        <v>11099.510714285714</v>
      </c>
      <c r="N8" s="8">
        <v>6.53</v>
      </c>
      <c r="O8" s="8"/>
      <c r="P8" s="8">
        <v>10</v>
      </c>
      <c r="Q8" s="8"/>
      <c r="R8" s="11">
        <v>0.68</v>
      </c>
      <c r="S8" s="11"/>
      <c r="T8" s="9">
        <f t="shared" si="8"/>
        <v>0</v>
      </c>
      <c r="U8" s="9">
        <f t="shared" si="9"/>
        <v>0</v>
      </c>
      <c r="V8" s="8">
        <v>27</v>
      </c>
      <c r="W8" s="8"/>
      <c r="X8" s="8">
        <f t="shared" si="10"/>
        <v>27</v>
      </c>
    </row>
    <row r="9" spans="1:24" ht="14.25" customHeight="1" x14ac:dyDescent="0.25">
      <c r="A9" s="10" t="s">
        <v>23</v>
      </c>
      <c r="B9" s="9"/>
      <c r="C9" s="9">
        <v>4032281</v>
      </c>
      <c r="D9" s="9"/>
      <c r="E9" s="9">
        <f t="shared" si="0"/>
        <v>4032281</v>
      </c>
      <c r="F9" s="9">
        <f t="shared" si="1"/>
        <v>0</v>
      </c>
      <c r="G9" s="9">
        <f t="shared" si="2"/>
        <v>0</v>
      </c>
      <c r="H9" s="9">
        <f t="shared" si="3"/>
        <v>144010.03571428571</v>
      </c>
      <c r="I9" s="9">
        <f t="shared" si="4"/>
        <v>1137679.2821428571</v>
      </c>
      <c r="J9" s="9">
        <f t="shared" si="5"/>
        <v>0</v>
      </c>
      <c r="K9" s="9"/>
      <c r="L9" s="16" t="e">
        <f t="shared" si="6"/>
        <v>#DIV/0!</v>
      </c>
      <c r="M9" s="9">
        <f t="shared" si="7"/>
        <v>14401.003571428571</v>
      </c>
      <c r="N9" s="8">
        <v>7.9</v>
      </c>
      <c r="O9" s="8"/>
      <c r="P9" s="8">
        <v>10</v>
      </c>
      <c r="Q9" s="8"/>
      <c r="R9" s="11">
        <v>0.68</v>
      </c>
      <c r="S9" s="11"/>
      <c r="T9" s="9">
        <f t="shared" si="8"/>
        <v>0</v>
      </c>
      <c r="U9" s="9">
        <f t="shared" si="9"/>
        <v>0</v>
      </c>
      <c r="V9" s="8">
        <v>27</v>
      </c>
      <c r="W9" s="8"/>
      <c r="X9" s="8">
        <f t="shared" si="10"/>
        <v>27</v>
      </c>
    </row>
    <row r="10" spans="1:24" ht="14.25" customHeight="1" x14ac:dyDescent="0.25">
      <c r="A10" s="10" t="s">
        <v>41</v>
      </c>
      <c r="B10" s="9"/>
      <c r="C10" s="9">
        <v>3336726</v>
      </c>
      <c r="D10" s="9"/>
      <c r="E10" s="9">
        <f>C10-D10</f>
        <v>3336726</v>
      </c>
      <c r="F10" s="9">
        <f>C10*W10/V10</f>
        <v>0</v>
      </c>
      <c r="G10" s="9">
        <f>F10-D10</f>
        <v>0</v>
      </c>
      <c r="H10" s="9">
        <f>(E10+B10)/(X10+1)</f>
        <v>119168.78571428571</v>
      </c>
      <c r="I10" s="9">
        <f>H10*N10</f>
        <v>499317.2121428572</v>
      </c>
      <c r="J10" s="9">
        <f>B10*O10</f>
        <v>0</v>
      </c>
      <c r="K10" s="9"/>
      <c r="L10" s="16" t="e">
        <f>T10/U10</f>
        <v>#DIV/0!</v>
      </c>
      <c r="M10" s="9">
        <f>H10/P10</f>
        <v>11822.300170068027</v>
      </c>
      <c r="N10" s="8">
        <v>4.1900000000000004</v>
      </c>
      <c r="O10" s="8"/>
      <c r="P10" s="8">
        <v>10.08</v>
      </c>
      <c r="Q10" s="8"/>
      <c r="R10" s="11">
        <v>0.79</v>
      </c>
      <c r="S10" s="11"/>
      <c r="T10" s="9">
        <f>O10*D10</f>
        <v>0</v>
      </c>
      <c r="U10" s="9">
        <f>N10*F10</f>
        <v>0</v>
      </c>
      <c r="V10" s="8">
        <v>27</v>
      </c>
      <c r="W10" s="8"/>
      <c r="X10" s="8">
        <f>V10-W10</f>
        <v>27</v>
      </c>
    </row>
    <row r="11" spans="1:24" ht="14.25" customHeight="1" thickBot="1" x14ac:dyDescent="0.3">
      <c r="A11" s="20" t="s">
        <v>40</v>
      </c>
      <c r="B11" s="21"/>
      <c r="C11" s="21">
        <v>0</v>
      </c>
      <c r="D11" s="21"/>
      <c r="E11" s="9">
        <f>C11-D11</f>
        <v>0</v>
      </c>
      <c r="F11" s="9">
        <f>C11*W11/V11</f>
        <v>0</v>
      </c>
      <c r="G11" s="9">
        <f>F11-D11</f>
        <v>0</v>
      </c>
      <c r="H11" s="9">
        <f>(E11+B11)/(X11+1)</f>
        <v>0</v>
      </c>
      <c r="I11" s="9">
        <f>H11*N11</f>
        <v>0</v>
      </c>
      <c r="J11" s="9">
        <f>B11*O11</f>
        <v>0</v>
      </c>
      <c r="K11" s="9"/>
      <c r="L11" s="16" t="e">
        <f>T11/U11</f>
        <v>#DIV/0!</v>
      </c>
      <c r="M11" s="9" t="e">
        <f>H11/P11</f>
        <v>#DIV/0!</v>
      </c>
      <c r="N11" s="17"/>
      <c r="O11" s="17"/>
      <c r="P11" s="17"/>
      <c r="Q11" s="17"/>
      <c r="R11" s="18"/>
      <c r="S11" s="18"/>
      <c r="T11" s="9">
        <f>O11*D11</f>
        <v>0</v>
      </c>
      <c r="U11" s="9">
        <f>N11*F11</f>
        <v>0</v>
      </c>
      <c r="V11" s="8">
        <v>27</v>
      </c>
      <c r="W11" s="8"/>
      <c r="X11" s="8">
        <f>V11-W11</f>
        <v>27</v>
      </c>
    </row>
    <row r="12" spans="1:24" ht="27.75" customHeight="1" thickTop="1" thickBot="1" x14ac:dyDescent="0.3">
      <c r="A12" s="6" t="s">
        <v>42</v>
      </c>
      <c r="B12" s="7">
        <f>SUM(B4:B9)</f>
        <v>0</v>
      </c>
      <c r="C12" s="7">
        <f>SUM(C4:C9)</f>
        <v>16422890</v>
      </c>
      <c r="D12" s="7">
        <f>SUM(D4:D9)</f>
        <v>0</v>
      </c>
      <c r="E12" s="7">
        <f>SUM(E4:E9)</f>
        <v>16422890</v>
      </c>
      <c r="F12" s="7">
        <f>SUM(F4:F9)</f>
        <v>0</v>
      </c>
      <c r="G12" s="7">
        <f>SUM(G4:G9)</f>
        <v>0</v>
      </c>
      <c r="H12" s="7">
        <f>(E12+B12)/(X12+1)</f>
        <v>586531.78571428568</v>
      </c>
      <c r="I12" s="7">
        <f>H12*N12</f>
        <v>4328604.5785714285</v>
      </c>
      <c r="J12" s="7" t="e">
        <f>B12*O12</f>
        <v>#DIV/0!</v>
      </c>
      <c r="K12" s="7">
        <f>SUM(K4:K9)</f>
        <v>0</v>
      </c>
      <c r="L12" s="12" t="e">
        <f>T12/U12</f>
        <v>#DIV/0!</v>
      </c>
      <c r="M12" s="7">
        <f>H12/P12</f>
        <v>58653.178571428565</v>
      </c>
      <c r="N12" s="6">
        <v>7.38</v>
      </c>
      <c r="O12" s="6" t="e">
        <f>AVERAGE(O4:O9)</f>
        <v>#DIV/0!</v>
      </c>
      <c r="P12" s="6">
        <v>10</v>
      </c>
      <c r="Q12" s="6" t="e">
        <f>AVERAGE(Q4:Q9)</f>
        <v>#DIV/0!</v>
      </c>
      <c r="R12" s="12">
        <v>0.68630000000000002</v>
      </c>
      <c r="S12" s="12" t="e">
        <f>AVERAGE(S4:S9)</f>
        <v>#DIV/0!</v>
      </c>
      <c r="T12" s="7" t="e">
        <f>O12*D12</f>
        <v>#DIV/0!</v>
      </c>
      <c r="U12" s="7">
        <f>N12*F12</f>
        <v>0</v>
      </c>
      <c r="V12" s="6">
        <v>27</v>
      </c>
      <c r="W12" s="6"/>
      <c r="X12" s="6">
        <f t="shared" si="10"/>
        <v>27</v>
      </c>
    </row>
    <row r="13" spans="1:24" ht="15.75" customHeight="1" thickTop="1" x14ac:dyDescent="0.25"/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thickBot="1" x14ac:dyDescent="0.3">
      <c r="A16" s="5" t="s">
        <v>32</v>
      </c>
      <c r="M16" s="1"/>
    </row>
    <row r="17" spans="1:13" ht="61.5" thickTop="1" thickBot="1" x14ac:dyDescent="0.3">
      <c r="A17" s="6" t="s">
        <v>33</v>
      </c>
      <c r="B17" s="6" t="s">
        <v>34</v>
      </c>
      <c r="C17" s="6" t="s">
        <v>35</v>
      </c>
      <c r="D17" s="6" t="s">
        <v>36</v>
      </c>
      <c r="E17" s="6" t="s">
        <v>37</v>
      </c>
      <c r="F17" s="6" t="s">
        <v>38</v>
      </c>
      <c r="J17" s="1"/>
    </row>
    <row r="18" spans="1:13" ht="15.75" thickTop="1" x14ac:dyDescent="0.25">
      <c r="A18" s="13">
        <f>C12</f>
        <v>16422890</v>
      </c>
      <c r="B18" s="13">
        <f>D12</f>
        <v>0</v>
      </c>
      <c r="C18" s="13">
        <f>QUOTIENT(B12,10000)*10000</f>
        <v>0</v>
      </c>
      <c r="D18" s="13">
        <f>C18*$X$12</f>
        <v>0</v>
      </c>
      <c r="E18" s="13">
        <f>$D$12+D18</f>
        <v>0</v>
      </c>
      <c r="F18" s="13">
        <f>$C$12-E18</f>
        <v>16422890</v>
      </c>
      <c r="M18" s="1"/>
    </row>
    <row r="19" spans="1:13" x14ac:dyDescent="0.25">
      <c r="A19" s="15" t="s">
        <v>39</v>
      </c>
      <c r="B19" s="14"/>
      <c r="C19" s="13">
        <f>C18+35000</f>
        <v>35000</v>
      </c>
      <c r="D19" s="13">
        <f>C19*$X$12</f>
        <v>945000</v>
      </c>
      <c r="E19" s="13">
        <f>$D$12+D19</f>
        <v>945000</v>
      </c>
      <c r="F19" s="13">
        <f>$C$12-E19</f>
        <v>15477890</v>
      </c>
      <c r="M19" s="1"/>
    </row>
    <row r="20" spans="1:13" x14ac:dyDescent="0.25">
      <c r="A20" s="15" t="s">
        <v>39</v>
      </c>
      <c r="B20" s="14"/>
      <c r="C20" s="13">
        <f t="shared" ref="C20:C23" si="11">C19+35000</f>
        <v>70000</v>
      </c>
      <c r="D20" s="13">
        <f>C20*$X$12</f>
        <v>1890000</v>
      </c>
      <c r="E20" s="13">
        <f>$D$12+D20</f>
        <v>1890000</v>
      </c>
      <c r="F20" s="13">
        <f>$C$12-E20</f>
        <v>14532890</v>
      </c>
    </row>
    <row r="21" spans="1:13" x14ac:dyDescent="0.25">
      <c r="A21" s="15" t="s">
        <v>39</v>
      </c>
      <c r="B21" s="14"/>
      <c r="C21" s="13">
        <f t="shared" si="11"/>
        <v>105000</v>
      </c>
      <c r="D21" s="13">
        <f>C21*$X$12</f>
        <v>2835000</v>
      </c>
      <c r="E21" s="13">
        <f>$D$12+D21</f>
        <v>2835000</v>
      </c>
      <c r="F21" s="13">
        <f>$C$12-E21</f>
        <v>13587890</v>
      </c>
    </row>
    <row r="22" spans="1:13" x14ac:dyDescent="0.25">
      <c r="A22" s="15" t="s">
        <v>39</v>
      </c>
      <c r="B22" s="14"/>
      <c r="C22" s="13">
        <f t="shared" si="11"/>
        <v>140000</v>
      </c>
      <c r="D22" s="13">
        <f>C22*$X$12</f>
        <v>3780000</v>
      </c>
      <c r="E22" s="13">
        <f>$D$12+D22</f>
        <v>3780000</v>
      </c>
      <c r="F22" s="13">
        <f>$C$12-E22</f>
        <v>12642890</v>
      </c>
    </row>
    <row r="23" spans="1:13" x14ac:dyDescent="0.25">
      <c r="A23" s="15" t="s">
        <v>39</v>
      </c>
      <c r="B23" s="14"/>
      <c r="C23" s="13">
        <f t="shared" si="11"/>
        <v>175000</v>
      </c>
      <c r="D23" s="13">
        <f>C23*$X$12</f>
        <v>4725000</v>
      </c>
      <c r="E23" s="13">
        <f>$D$12+D23</f>
        <v>4725000</v>
      </c>
      <c r="F23" s="13">
        <f>$C$12-E23</f>
        <v>11697890</v>
      </c>
    </row>
  </sheetData>
  <protectedRanges>
    <protectedRange sqref="K4:K11" name="otshedule24" securityDescriptor="O:WDG:WDD:(A;;CC;;;WD)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2026-01-01T10:06:10Z</dcterms:modified>
</cp:coreProperties>
</file>