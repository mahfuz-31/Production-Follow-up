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1. Work\1. Daily\Production follow up\"/>
    </mc:Choice>
  </mc:AlternateContent>
  <xr:revisionPtr revIDLastSave="0" documentId="13_ncr:1_{AE305450-7A12-47E8-B5EE-61DD6E51C8DD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" i="1" l="1"/>
  <c r="D12" i="1"/>
  <c r="B12" i="1"/>
  <c r="C12" i="1"/>
  <c r="X11" i="1" l="1"/>
  <c r="H11" i="1" s="1"/>
  <c r="I11" i="1" s="1"/>
  <c r="T11" i="1"/>
  <c r="E11" i="1"/>
  <c r="F11" i="1"/>
  <c r="G11" i="1" s="1"/>
  <c r="J11" i="1"/>
  <c r="C18" i="1"/>
  <c r="O12" i="1"/>
  <c r="Q12" i="1"/>
  <c r="S12" i="1"/>
  <c r="X12" i="1"/>
  <c r="F10" i="1"/>
  <c r="U10" i="1" s="1"/>
  <c r="E8" i="1"/>
  <c r="T5" i="1"/>
  <c r="T6" i="1"/>
  <c r="T7" i="1"/>
  <c r="T8" i="1"/>
  <c r="T9" i="1"/>
  <c r="T10" i="1"/>
  <c r="T4" i="1"/>
  <c r="B2" i="1"/>
  <c r="X5" i="1"/>
  <c r="X6" i="1"/>
  <c r="X7" i="1"/>
  <c r="X8" i="1"/>
  <c r="X9" i="1"/>
  <c r="X10" i="1"/>
  <c r="X4" i="1"/>
  <c r="J5" i="1"/>
  <c r="J6" i="1"/>
  <c r="J7" i="1"/>
  <c r="J8" i="1"/>
  <c r="J9" i="1"/>
  <c r="J10" i="1"/>
  <c r="J4" i="1"/>
  <c r="F5" i="1"/>
  <c r="U5" i="1" s="1"/>
  <c r="F6" i="1"/>
  <c r="G6" i="1" s="1"/>
  <c r="F8" i="1"/>
  <c r="U8" i="1" s="1"/>
  <c r="E5" i="1"/>
  <c r="E6" i="1"/>
  <c r="E7" i="1"/>
  <c r="E10" i="1"/>
  <c r="J12" i="1" l="1"/>
  <c r="D18" i="1"/>
  <c r="U11" i="1"/>
  <c r="L11" i="1" s="1"/>
  <c r="M11" i="1"/>
  <c r="A18" i="1"/>
  <c r="T12" i="1"/>
  <c r="F7" i="1"/>
  <c r="U7" i="1" s="1"/>
  <c r="L7" i="1" s="1"/>
  <c r="E9" i="1"/>
  <c r="H9" i="1" s="1"/>
  <c r="I9" i="1" s="1"/>
  <c r="F9" i="1"/>
  <c r="U9" i="1" s="1"/>
  <c r="L9" i="1" s="1"/>
  <c r="E4" i="1"/>
  <c r="F4" i="1"/>
  <c r="F12" i="1" s="1"/>
  <c r="L8" i="1"/>
  <c r="H8" i="1"/>
  <c r="I8" i="1" s="1"/>
  <c r="L5" i="1"/>
  <c r="B18" i="1"/>
  <c r="E18" i="1"/>
  <c r="F18" i="1" s="1"/>
  <c r="C19" i="1"/>
  <c r="L10" i="1"/>
  <c r="H5" i="1"/>
  <c r="I5" i="1" s="1"/>
  <c r="G10" i="1"/>
  <c r="U6" i="1"/>
  <c r="L6" i="1" s="1"/>
  <c r="H10" i="1"/>
  <c r="H7" i="1"/>
  <c r="G5" i="1"/>
  <c r="H6" i="1"/>
  <c r="G8" i="1"/>
  <c r="E12" i="1" l="1"/>
  <c r="G7" i="1"/>
  <c r="G4" i="1"/>
  <c r="U12" i="1"/>
  <c r="L12" i="1" s="1"/>
  <c r="H12" i="1"/>
  <c r="H4" i="1"/>
  <c r="I4" i="1" s="1"/>
  <c r="G9" i="1"/>
  <c r="U4" i="1"/>
  <c r="L4" i="1" s="1"/>
  <c r="M9" i="1"/>
  <c r="M8" i="1"/>
  <c r="D19" i="1"/>
  <c r="C20" i="1"/>
  <c r="M5" i="1"/>
  <c r="I7" i="1"/>
  <c r="M7" i="1"/>
  <c r="I6" i="1"/>
  <c r="M6" i="1"/>
  <c r="I10" i="1"/>
  <c r="M10" i="1"/>
  <c r="G12" i="1" l="1"/>
  <c r="M12" i="1"/>
  <c r="I12" i="1"/>
  <c r="M4" i="1"/>
  <c r="E19" i="1"/>
  <c r="F19" i="1" s="1"/>
  <c r="C21" i="1"/>
  <c r="D20" i="1"/>
  <c r="E20" i="1" l="1"/>
  <c r="F20" i="1" s="1"/>
  <c r="C22" i="1"/>
  <c r="D21" i="1"/>
  <c r="E21" i="1" l="1"/>
  <c r="F21" i="1" s="1"/>
  <c r="C23" i="1"/>
  <c r="D23" i="1" s="1"/>
  <c r="D22" i="1"/>
  <c r="E22" i="1" l="1"/>
  <c r="F22" i="1" s="1"/>
  <c r="E23" i="1"/>
  <c r="F23" i="1" s="1"/>
</calcChain>
</file>

<file path=xl/sharedStrings.xml><?xml version="1.0" encoding="utf-8"?>
<sst xmlns="http://schemas.openxmlformats.org/spreadsheetml/2006/main" count="47" uniqueCount="43">
  <si>
    <t>Production Unit</t>
  </si>
  <si>
    <t>QC Pass (Pcs)</t>
  </si>
  <si>
    <t>Plan (Pcs)</t>
  </si>
  <si>
    <t>Average Requirement as per Plan</t>
  </si>
  <si>
    <t>Average target in minutes</t>
  </si>
  <si>
    <t>QC Pass in minutes</t>
  </si>
  <si>
    <t>Factory Target</t>
  </si>
  <si>
    <t>Plan SMV</t>
  </si>
  <si>
    <t>Produced SMV</t>
  </si>
  <si>
    <t>Plan Hr</t>
  </si>
  <si>
    <t>Produced Hr</t>
  </si>
  <si>
    <t>Plan Eff%</t>
  </si>
  <si>
    <t>Prod. Eff%</t>
  </si>
  <si>
    <t>Accu. Produced Minute</t>
  </si>
  <si>
    <t>Total Plan Minute</t>
  </si>
  <si>
    <t>Plan day</t>
  </si>
  <si>
    <t>Completed Day</t>
  </si>
  <si>
    <t>Remaining Days</t>
  </si>
  <si>
    <t>JAL</t>
  </si>
  <si>
    <t>JFL</t>
  </si>
  <si>
    <t>JKL</t>
  </si>
  <si>
    <t>MFL</t>
  </si>
  <si>
    <t>FFL2</t>
  </si>
  <si>
    <t>JKL-U2</t>
  </si>
  <si>
    <t>Accu. QC Pass</t>
  </si>
  <si>
    <t>Plan Balance</t>
  </si>
  <si>
    <t>Required Prod upto yesterday</t>
  </si>
  <si>
    <t>Back Log upto yesterday</t>
  </si>
  <si>
    <t>Required Hr</t>
  </si>
  <si>
    <t>Plan Achv % (monthly, minute based)</t>
  </si>
  <si>
    <t>Plan vs Achievement</t>
  </si>
  <si>
    <t xml:space="preserve">Date: </t>
  </si>
  <si>
    <t>Forecast excluding Lingerie:</t>
  </si>
  <si>
    <t>Plan Qty</t>
  </si>
  <si>
    <t>Production in Completed days</t>
  </si>
  <si>
    <t>Estimated Production/day</t>
  </si>
  <si>
    <t>Remaining days Possible Production</t>
  </si>
  <si>
    <t>Forecasted production</t>
  </si>
  <si>
    <t>Backlog from plan</t>
  </si>
  <si>
    <t>-</t>
  </si>
  <si>
    <t>GTAL</t>
  </si>
  <si>
    <t>LIN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</si>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</sst>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/mmm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8"/>
      <name val="Playfair Display"/>
    </font>
  </fonts>
  <fills count="3">
    <fill>
      <patternFill patternType="none"/>
    </fill>
    <fill>
      <patternFill patternType="gray125"/>
    </fill>
    <fill>
      <patternFill patternType="solid">
        <fgColor rgb="FF1B770B"/>
        <bgColor rgb="FFFFFF00"/>
      </patternFill>
    </fill>
  </fills>
  <borders count="4"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double">
        <color auto="1"/>
      </top>
      <bottom style="double">
        <color auto="1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3" fontId="0" fillId="0" borderId="0" xfId="0" applyNumberFormat="1"/>
    <xf numFmtId="3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3" fontId="0" fillId="0" borderId="2" xfId="0" applyNumberFormat="1" applyBorder="1"/>
    <xf numFmtId="0" fontId="4" fillId="0" borderId="2" xfId="0" applyFont="1" applyBorder="1"/>
    <xf numFmtId="9" fontId="0" fillId="0" borderId="2" xfId="1" applyFont="1" applyBorder="1"/>
    <xf numFmtId="9" fontId="6" fillId="2" borderId="1" xfId="1" applyFont="1" applyFill="1" applyBorder="1" applyAlignment="1">
      <alignment horizontal="center" vertical="center" wrapText="1"/>
    </xf>
    <xf numFmtId="3" fontId="7" fillId="0" borderId="2" xfId="0" applyNumberFormat="1" applyFont="1" applyBorder="1"/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9" fontId="0" fillId="0" borderId="2" xfId="1" applyFont="1" applyBorder="1" applyAlignment="1">
      <alignment horizontal="center"/>
    </xf>
    <xf numFmtId="0" fontId="0" fillId="0" borderId="3" xfId="0" applyBorder="1"/>
    <xf numFmtId="9" fontId="0" fillId="0" borderId="3" xfId="1" applyFont="1" applyBorder="1"/>
    <xf numFmtId="0" fontId="8" fillId="0" borderId="0" xfId="0" applyFont="1"/>
    <xf numFmtId="0" fontId="4" fillId="0" borderId="3" xfId="0" applyFont="1" applyBorder="1"/>
    <xf numFmtId="3" fontId="0" fillId="0" borderId="3" xfId="0" applyNumberFormat="1" applyBorder="1"/>
    <xf numFmtId="2" fontId="6" fillId="2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6C0E0004-EF1A-4FCF-A451-5ACC22D75CE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3"/>
  <sheetViews>
    <sheetView tabSelected="1" workbookViewId="0">
      <selection activeCell="C4" sqref="C4:C10"/>
    </sheetView>
  </sheetViews>
  <sheetFormatPr defaultRowHeight="15" x14ac:dyDescent="0.25"/>
  <cols>
    <col min="1" max="1" width="11.5703125" customWidth="1"/>
    <col min="2" max="2" width="13.140625" customWidth="1"/>
    <col min="3" max="3" width="10.5703125" customWidth="1"/>
    <col min="4" max="4" width="10.7109375" bestFit="1" customWidth="1"/>
    <col min="5" max="5" width="11.140625" customWidth="1"/>
    <col min="6" max="6" width="10.85546875" customWidth="1"/>
    <col min="7" max="7" width="11.28515625" customWidth="1"/>
    <col min="8" max="8" width="12.42578125" customWidth="1"/>
    <col min="9" max="9" width="10.140625" customWidth="1"/>
    <col min="10" max="10" width="10" bestFit="1" customWidth="1"/>
    <col min="11" max="11" width="10.42578125" customWidth="1"/>
    <col min="13" max="13" width="11.5703125" bestFit="1" customWidth="1"/>
    <col min="14" max="14" width="9.5703125" bestFit="1" customWidth="1"/>
    <col min="20" max="20" width="11.42578125" customWidth="1"/>
    <col min="21" max="21" width="13" customWidth="1"/>
  </cols>
  <sheetData>
    <row r="1" spans="1:24" ht="29.25" x14ac:dyDescent="0.55000000000000004">
      <c r="A1" s="19" t="s">
        <v>30</v>
      </c>
    </row>
    <row r="2" spans="1:24" ht="15.75" thickBot="1" x14ac:dyDescent="0.3">
      <c r="A2" s="3" t="s">
        <v>31</v>
      </c>
      <c r="B2" s="4">
        <f ca="1">TODAY() - 1</f>
        <v>46027</v>
      </c>
    </row>
    <row r="3" spans="1:24" ht="76.5" thickTop="1" thickBot="1" x14ac:dyDescent="0.3">
      <c r="A3" s="6" t="s">
        <v>0</v>
      </c>
      <c r="B3" s="6" t="s">
        <v>1</v>
      </c>
      <c r="C3" s="6" t="s">
        <v>2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3</v>
      </c>
      <c r="I3" s="6" t="s">
        <v>4</v>
      </c>
      <c r="J3" s="6" t="s">
        <v>5</v>
      </c>
      <c r="K3" s="6" t="s">
        <v>6</v>
      </c>
      <c r="L3" s="6" t="s">
        <v>29</v>
      </c>
      <c r="M3" s="6" t="s">
        <v>28</v>
      </c>
      <c r="N3" s="6" t="s">
        <v>7</v>
      </c>
      <c r="O3" s="6" t="s">
        <v>8</v>
      </c>
      <c r="P3" s="6" t="s">
        <v>9</v>
      </c>
      <c r="Q3" s="6" t="s">
        <v>10</v>
      </c>
      <c r="R3" s="6" t="s">
        <v>11</v>
      </c>
      <c r="S3" s="6" t="s">
        <v>12</v>
      </c>
      <c r="T3" s="6" t="s">
        <v>13</v>
      </c>
      <c r="U3" s="6" t="s">
        <v>14</v>
      </c>
      <c r="V3" s="6" t="s">
        <v>15</v>
      </c>
      <c r="W3" s="6" t="s">
        <v>16</v>
      </c>
      <c r="X3" s="6" t="s">
        <v>17</v>
      </c>
    </row>
    <row r="4" spans="1:24" ht="15.75" thickTop="1" x14ac:dyDescent="0.25">
      <c r="A4" s="10" t="s">
        <v>18</v>
      </c>
      <c r="B4" s="9"/>
      <c r="C4" s="9">
        <v>3014984</v>
      </c>
      <c r="D4" s="9"/>
      <c r="E4" s="9">
        <f>C4-D4</f>
        <v>3014984</v>
      </c>
      <c r="F4" s="9">
        <f>C4*W4/V4</f>
        <v>0</v>
      </c>
      <c r="G4" s="9">
        <f>F4-D4</f>
        <v>0</v>
      </c>
      <c r="H4" s="9">
        <f>(E4+B4)/(X4+1)</f>
        <v>111666.07407407407</v>
      </c>
      <c r="I4" s="9">
        <f>H4*N4</f>
        <v>701262.94518518518</v>
      </c>
      <c r="J4" s="9">
        <f>B4*O4</f>
        <v>0</v>
      </c>
      <c r="K4" s="9"/>
      <c r="L4" s="16" t="e">
        <f>T4/U4</f>
        <v>#DIV/0!</v>
      </c>
      <c r="M4" s="9">
        <f>H4/P4</f>
        <v>11166.607407407408</v>
      </c>
      <c r="N4" s="8">
        <v>6.28</v>
      </c>
      <c r="O4" s="8"/>
      <c r="P4" s="8">
        <v>10</v>
      </c>
      <c r="Q4" s="8"/>
      <c r="R4" s="11">
        <v>0.71</v>
      </c>
      <c r="S4" s="11"/>
      <c r="T4" s="9">
        <f>O4*D4</f>
        <v>0</v>
      </c>
      <c r="U4" s="9">
        <f>N4*F4</f>
        <v>0</v>
      </c>
      <c r="V4" s="8">
        <v>26</v>
      </c>
      <c r="W4" s="8"/>
      <c r="X4" s="8">
        <f>V4-W4</f>
        <v>26</v>
      </c>
    </row>
    <row r="5" spans="1:24" x14ac:dyDescent="0.25">
      <c r="A5" s="10" t="s">
        <v>19</v>
      </c>
      <c r="B5" s="9"/>
      <c r="C5" s="9">
        <v>1496352</v>
      </c>
      <c r="D5" s="9"/>
      <c r="E5" s="9">
        <f t="shared" ref="E5:E9" si="0">C5-D5</f>
        <v>1496352</v>
      </c>
      <c r="F5" s="9">
        <f t="shared" ref="F5:F9" si="1">C5*W5/V5</f>
        <v>0</v>
      </c>
      <c r="G5" s="9">
        <f t="shared" ref="G5:G9" si="2">F5-D5</f>
        <v>0</v>
      </c>
      <c r="H5" s="9">
        <f t="shared" ref="H5:H9" si="3">(E5+B5)/(X5+1)</f>
        <v>55420.444444444445</v>
      </c>
      <c r="I5" s="9">
        <f t="shared" ref="I5:I9" si="4">H5*N5</f>
        <v>371871.18222222221</v>
      </c>
      <c r="J5" s="9">
        <f t="shared" ref="J5:J9" si="5">B5*O5</f>
        <v>0</v>
      </c>
      <c r="K5" s="9"/>
      <c r="L5" s="16" t="e">
        <f t="shared" ref="L5:L9" si="6">T5/U5</f>
        <v>#DIV/0!</v>
      </c>
      <c r="M5" s="9">
        <f t="shared" ref="M5:M9" si="7">H5/P5</f>
        <v>5542.0444444444447</v>
      </c>
      <c r="N5" s="8">
        <v>6.71</v>
      </c>
      <c r="O5" s="8"/>
      <c r="P5" s="8">
        <v>10</v>
      </c>
      <c r="Q5" s="8"/>
      <c r="R5" s="11">
        <v>0.73</v>
      </c>
      <c r="S5" s="11"/>
      <c r="T5" s="9">
        <f t="shared" ref="T5:T9" si="8">O5*D5</f>
        <v>0</v>
      </c>
      <c r="U5" s="9">
        <f t="shared" ref="U5:U9" si="9">N5*F5</f>
        <v>0</v>
      </c>
      <c r="V5" s="8">
        <v>26</v>
      </c>
      <c r="W5" s="8"/>
      <c r="X5" s="8">
        <f t="shared" ref="X5:X12" si="10">V5-W5</f>
        <v>26</v>
      </c>
    </row>
    <row r="6" spans="1:24" x14ac:dyDescent="0.25">
      <c r="A6" s="10" t="s">
        <v>20</v>
      </c>
      <c r="B6" s="9"/>
      <c r="C6" s="9">
        <v>2665075</v>
      </c>
      <c r="D6" s="9"/>
      <c r="E6" s="9">
        <f t="shared" si="0"/>
        <v>2665075</v>
      </c>
      <c r="F6" s="9">
        <f t="shared" si="1"/>
        <v>0</v>
      </c>
      <c r="G6" s="9">
        <f t="shared" si="2"/>
        <v>0</v>
      </c>
      <c r="H6" s="9">
        <f t="shared" si="3"/>
        <v>98706.481481481474</v>
      </c>
      <c r="I6" s="9">
        <f t="shared" si="4"/>
        <v>718583.18518518517</v>
      </c>
      <c r="J6" s="9">
        <f t="shared" si="5"/>
        <v>0</v>
      </c>
      <c r="K6" s="9"/>
      <c r="L6" s="16" t="e">
        <f t="shared" si="6"/>
        <v>#DIV/0!</v>
      </c>
      <c r="M6" s="9">
        <f t="shared" si="7"/>
        <v>9870.6481481481478</v>
      </c>
      <c r="N6" s="8">
        <v>7.28</v>
      </c>
      <c r="O6" s="8"/>
      <c r="P6" s="8">
        <v>10</v>
      </c>
      <c r="Q6" s="8"/>
      <c r="R6" s="11">
        <v>0.62149999999999994</v>
      </c>
      <c r="S6" s="11"/>
      <c r="T6" s="9">
        <f t="shared" si="8"/>
        <v>0</v>
      </c>
      <c r="U6" s="9">
        <f t="shared" si="9"/>
        <v>0</v>
      </c>
      <c r="V6" s="8">
        <v>26</v>
      </c>
      <c r="W6" s="8"/>
      <c r="X6" s="8">
        <f t="shared" si="10"/>
        <v>26</v>
      </c>
    </row>
    <row r="7" spans="1:24" x14ac:dyDescent="0.25">
      <c r="A7" s="10" t="s">
        <v>21</v>
      </c>
      <c r="B7" s="9"/>
      <c r="C7" s="9">
        <v>2104429</v>
      </c>
      <c r="D7" s="9"/>
      <c r="E7" s="9">
        <f t="shared" si="0"/>
        <v>2104429</v>
      </c>
      <c r="F7" s="9">
        <f t="shared" si="1"/>
        <v>0</v>
      </c>
      <c r="G7" s="9">
        <f t="shared" si="2"/>
        <v>0</v>
      </c>
      <c r="H7" s="9">
        <f t="shared" si="3"/>
        <v>77941.814814814818</v>
      </c>
      <c r="I7" s="9">
        <f t="shared" si="4"/>
        <v>631328.69999999995</v>
      </c>
      <c r="J7" s="9">
        <f t="shared" si="5"/>
        <v>0</v>
      </c>
      <c r="K7" s="9"/>
      <c r="L7" s="16" t="e">
        <f t="shared" si="6"/>
        <v>#DIV/0!</v>
      </c>
      <c r="M7" s="9">
        <f t="shared" si="7"/>
        <v>7794.1814814814816</v>
      </c>
      <c r="N7" s="8">
        <v>8.1</v>
      </c>
      <c r="O7" s="8"/>
      <c r="P7" s="8">
        <v>10</v>
      </c>
      <c r="Q7" s="8"/>
      <c r="R7" s="11">
        <v>0.6925</v>
      </c>
      <c r="S7" s="11"/>
      <c r="T7" s="9">
        <f t="shared" si="8"/>
        <v>0</v>
      </c>
      <c r="U7" s="9">
        <f t="shared" si="9"/>
        <v>0</v>
      </c>
      <c r="V7" s="8">
        <v>26</v>
      </c>
      <c r="W7" s="8"/>
      <c r="X7" s="8">
        <f t="shared" si="10"/>
        <v>26</v>
      </c>
    </row>
    <row r="8" spans="1:24" x14ac:dyDescent="0.25">
      <c r="A8" s="10" t="s">
        <v>22</v>
      </c>
      <c r="B8" s="9"/>
      <c r="C8" s="9">
        <v>2771433</v>
      </c>
      <c r="D8" s="9"/>
      <c r="E8" s="9">
        <f t="shared" si="0"/>
        <v>2771433</v>
      </c>
      <c r="F8" s="9">
        <f t="shared" si="1"/>
        <v>0</v>
      </c>
      <c r="G8" s="9">
        <f t="shared" si="2"/>
        <v>0</v>
      </c>
      <c r="H8" s="9">
        <f t="shared" si="3"/>
        <v>102645.66666666667</v>
      </c>
      <c r="I8" s="9">
        <f t="shared" si="4"/>
        <v>725704.8633333334</v>
      </c>
      <c r="J8" s="9">
        <f t="shared" si="5"/>
        <v>0</v>
      </c>
      <c r="K8" s="9"/>
      <c r="L8" s="16" t="e">
        <f t="shared" si="6"/>
        <v>#DIV/0!</v>
      </c>
      <c r="M8" s="9">
        <f t="shared" si="7"/>
        <v>10264.566666666668</v>
      </c>
      <c r="N8" s="8">
        <v>7.07</v>
      </c>
      <c r="O8" s="8"/>
      <c r="P8" s="8">
        <v>10</v>
      </c>
      <c r="Q8" s="8"/>
      <c r="R8" s="11">
        <v>0.68600000000000005</v>
      </c>
      <c r="S8" s="11"/>
      <c r="T8" s="9">
        <f t="shared" si="8"/>
        <v>0</v>
      </c>
      <c r="U8" s="9">
        <f t="shared" si="9"/>
        <v>0</v>
      </c>
      <c r="V8" s="8">
        <v>26</v>
      </c>
      <c r="W8" s="8"/>
      <c r="X8" s="8">
        <f t="shared" si="10"/>
        <v>26</v>
      </c>
    </row>
    <row r="9" spans="1:24" ht="14.25" customHeight="1" x14ac:dyDescent="0.25">
      <c r="A9" s="10" t="s">
        <v>23</v>
      </c>
      <c r="B9" s="9"/>
      <c r="C9" s="9">
        <v>3693050</v>
      </c>
      <c r="D9" s="9"/>
      <c r="E9" s="9">
        <f t="shared" si="0"/>
        <v>3693050</v>
      </c>
      <c r="F9" s="9">
        <f t="shared" si="1"/>
        <v>0</v>
      </c>
      <c r="G9" s="9">
        <f t="shared" si="2"/>
        <v>0</v>
      </c>
      <c r="H9" s="9">
        <f t="shared" si="3"/>
        <v>136779.62962962964</v>
      </c>
      <c r="I9" s="9">
        <f t="shared" si="4"/>
        <v>1049099.7592592593</v>
      </c>
      <c r="J9" s="9">
        <f t="shared" si="5"/>
        <v>0</v>
      </c>
      <c r="K9" s="9"/>
      <c r="L9" s="16" t="e">
        <f t="shared" si="6"/>
        <v>#DIV/0!</v>
      </c>
      <c r="M9" s="9">
        <f t="shared" si="7"/>
        <v>13677.962962962964</v>
      </c>
      <c r="N9" s="8">
        <v>7.67</v>
      </c>
      <c r="O9" s="8"/>
      <c r="P9" s="8">
        <v>10</v>
      </c>
      <c r="Q9" s="8"/>
      <c r="R9" s="11">
        <v>0.68</v>
      </c>
      <c r="S9" s="11"/>
      <c r="T9" s="9">
        <f t="shared" si="8"/>
        <v>0</v>
      </c>
      <c r="U9" s="9">
        <f t="shared" si="9"/>
        <v>0</v>
      </c>
      <c r="V9" s="8">
        <v>26</v>
      </c>
      <c r="W9" s="8"/>
      <c r="X9" s="8">
        <f t="shared" si="10"/>
        <v>26</v>
      </c>
    </row>
    <row r="10" spans="1:24" ht="14.25" customHeight="1" x14ac:dyDescent="0.25">
      <c r="A10" s="10" t="s">
        <v>41</v>
      </c>
      <c r="B10" s="9"/>
      <c r="C10" s="9">
        <v>3140225</v>
      </c>
      <c r="D10" s="9"/>
      <c r="E10" s="9">
        <f>C10-D10</f>
        <v>3140225</v>
      </c>
      <c r="F10" s="9">
        <f>C10*W10/V10</f>
        <v>0</v>
      </c>
      <c r="G10" s="9">
        <f>F10-D10</f>
        <v>0</v>
      </c>
      <c r="H10" s="9">
        <f>(E10+B10)/(X10+1)</f>
        <v>116304.62962962964</v>
      </c>
      <c r="I10" s="9">
        <f>H10*N10</f>
        <v>482664.21296296304</v>
      </c>
      <c r="J10" s="9">
        <f>B10*O10</f>
        <v>0</v>
      </c>
      <c r="K10" s="9"/>
      <c r="L10" s="16" t="e">
        <f>T10/U10</f>
        <v>#DIV/0!</v>
      </c>
      <c r="M10" s="9">
        <f>H10/P10</f>
        <v>11630.462962962964</v>
      </c>
      <c r="N10" s="8">
        <v>4.1500000000000004</v>
      </c>
      <c r="O10" s="8"/>
      <c r="P10" s="8">
        <v>10</v>
      </c>
      <c r="Q10" s="8"/>
      <c r="R10" s="11">
        <v>0.77</v>
      </c>
      <c r="S10" s="11"/>
      <c r="T10" s="9">
        <f>O10*D10</f>
        <v>0</v>
      </c>
      <c r="U10" s="9">
        <f>N10*F10</f>
        <v>0</v>
      </c>
      <c r="V10" s="8">
        <v>26</v>
      </c>
      <c r="W10" s="8"/>
      <c r="X10" s="8">
        <f>V10-W10</f>
        <v>26</v>
      </c>
    </row>
    <row r="11" spans="1:24" ht="14.25" customHeight="1" thickBot="1" x14ac:dyDescent="0.3">
      <c r="A11" s="20" t="s">
        <v>40</v>
      </c>
      <c r="B11" s="21"/>
      <c r="C11" s="21">
        <v>0</v>
      </c>
      <c r="D11" s="21"/>
      <c r="E11" s="9">
        <f>C11-D11</f>
        <v>0</v>
      </c>
      <c r="F11" s="9">
        <f>C11*W11/V11</f>
        <v>0</v>
      </c>
      <c r="G11" s="9">
        <f>F11-D11</f>
        <v>0</v>
      </c>
      <c r="H11" s="9">
        <f>(E11+B11)/(X11+1)</f>
        <v>0</v>
      </c>
      <c r="I11" s="9">
        <f>H11*N11</f>
        <v>0</v>
      </c>
      <c r="J11" s="9">
        <f>B11*O11</f>
        <v>0</v>
      </c>
      <c r="K11" s="9"/>
      <c r="L11" s="16" t="e">
        <f>T11/U11</f>
        <v>#DIV/0!</v>
      </c>
      <c r="M11" s="9" t="e">
        <f>H11/P11</f>
        <v>#DIV/0!</v>
      </c>
      <c r="N11" s="17"/>
      <c r="O11" s="17"/>
      <c r="P11" s="17"/>
      <c r="Q11" s="17"/>
      <c r="R11" s="18"/>
      <c r="S11" s="18"/>
      <c r="T11" s="9">
        <f>O11*D11</f>
        <v>0</v>
      </c>
      <c r="U11" s="9">
        <f>N11*F11</f>
        <v>0</v>
      </c>
      <c r="V11" s="8">
        <v>26</v>
      </c>
      <c r="W11" s="8"/>
      <c r="X11" s="8">
        <f>V11-W11</f>
        <v>26</v>
      </c>
    </row>
    <row r="12" spans="1:24" ht="27.75" customHeight="1" thickTop="1" thickBot="1" x14ac:dyDescent="0.3">
      <c r="A12" s="6" t="s">
        <v>42</v>
      </c>
      <c r="B12" s="7">
        <f>SUM(B4:B11)</f>
        <v>0</v>
      </c>
      <c r="C12" s="7">
        <f>SUM(C4:C11)</f>
        <v>18885548</v>
      </c>
      <c r="D12" s="7">
        <f t="shared" ref="D12:G12" si="11">SUM(D4:D11)</f>
        <v>0</v>
      </c>
      <c r="E12" s="7">
        <f t="shared" si="11"/>
        <v>18885548</v>
      </c>
      <c r="F12" s="7">
        <f t="shared" si="11"/>
        <v>0</v>
      </c>
      <c r="G12" s="7">
        <f t="shared" si="11"/>
        <v>0</v>
      </c>
      <c r="H12" s="7">
        <f>(E12+B12)/(X12+1)</f>
        <v>699464.74074074079</v>
      </c>
      <c r="I12" s="7">
        <f>H12*N12</f>
        <v>4722386.2353439154</v>
      </c>
      <c r="J12" s="7" t="e">
        <f>B12*O12</f>
        <v>#DIV/0!</v>
      </c>
      <c r="K12" s="7">
        <f>SUM(K4:K11)</f>
        <v>0</v>
      </c>
      <c r="L12" s="12" t="e">
        <f>T12/U12</f>
        <v>#DIV/0!</v>
      </c>
      <c r="M12" s="7">
        <f>H12/P12</f>
        <v>69946.474074074082</v>
      </c>
      <c r="N12" s="22">
        <v>6.7514285714285709</v>
      </c>
      <c r="O12" s="6" t="e">
        <f>AVERAGE(O4:O9)</f>
        <v>#DIV/0!</v>
      </c>
      <c r="P12" s="6">
        <v>10</v>
      </c>
      <c r="Q12" s="6" t="e">
        <f>AVERAGE(Q4:Q9)</f>
        <v>#DIV/0!</v>
      </c>
      <c r="R12" s="12">
        <v>0.61124999999999985</v>
      </c>
      <c r="S12" s="12" t="e">
        <f>AVERAGE(S4:S9)</f>
        <v>#DIV/0!</v>
      </c>
      <c r="T12" s="7" t="e">
        <f>O12*D12</f>
        <v>#DIV/0!</v>
      </c>
      <c r="U12" s="7">
        <f>N12*F12</f>
        <v>0</v>
      </c>
      <c r="V12" s="6">
        <v>26</v>
      </c>
      <c r="W12" s="6"/>
      <c r="X12" s="6">
        <f t="shared" si="10"/>
        <v>26</v>
      </c>
    </row>
    <row r="13" spans="1:24" ht="15.75" customHeight="1" thickTop="1" x14ac:dyDescent="0.25"/>
    <row r="14" spans="1:24" x14ac:dyDescent="0.25">
      <c r="C14" s="1"/>
    </row>
    <row r="15" spans="1:24" x14ac:dyDescent="0.25">
      <c r="C15" s="2"/>
      <c r="D15" s="2"/>
      <c r="E15" s="1"/>
      <c r="H15" s="2"/>
      <c r="L15" s="1"/>
    </row>
    <row r="16" spans="1:24" ht="15.75" thickBot="1" x14ac:dyDescent="0.3">
      <c r="A16" s="5" t="s">
        <v>32</v>
      </c>
      <c r="M16" s="1"/>
    </row>
    <row r="17" spans="1:13" ht="61.5" thickTop="1" thickBot="1" x14ac:dyDescent="0.3">
      <c r="A17" s="6" t="s">
        <v>33</v>
      </c>
      <c r="B17" s="6" t="s">
        <v>34</v>
      </c>
      <c r="C17" s="6" t="s">
        <v>35</v>
      </c>
      <c r="D17" s="6" t="s">
        <v>36</v>
      </c>
      <c r="E17" s="6" t="s">
        <v>37</v>
      </c>
      <c r="F17" s="6" t="s">
        <v>38</v>
      </c>
      <c r="J17" s="1"/>
    </row>
    <row r="18" spans="1:13" ht="15.75" thickTop="1" x14ac:dyDescent="0.25">
      <c r="A18" s="13">
        <f>C12</f>
        <v>18885548</v>
      </c>
      <c r="B18" s="13">
        <f>D12</f>
        <v>0</v>
      </c>
      <c r="C18" s="13">
        <f>QUOTIENT(B12,10000)*10000</f>
        <v>0</v>
      </c>
      <c r="D18" s="13">
        <f t="shared" ref="D18:D23" si="12">C18*$X$12</f>
        <v>0</v>
      </c>
      <c r="E18" s="13">
        <f t="shared" ref="E18:E23" si="13">$D$12+D18</f>
        <v>0</v>
      </c>
      <c r="F18" s="13">
        <f t="shared" ref="F18:F23" si="14">$C$12-E18</f>
        <v>18885548</v>
      </c>
      <c r="M18" s="1"/>
    </row>
    <row r="19" spans="1:13" x14ac:dyDescent="0.25">
      <c r="A19" s="15" t="s">
        <v>39</v>
      </c>
      <c r="B19" s="14"/>
      <c r="C19" s="13">
        <f>C18+35000</f>
        <v>35000</v>
      </c>
      <c r="D19" s="13">
        <f t="shared" si="12"/>
        <v>910000</v>
      </c>
      <c r="E19" s="13">
        <f t="shared" si="13"/>
        <v>910000</v>
      </c>
      <c r="F19" s="13">
        <f t="shared" si="14"/>
        <v>17975548</v>
      </c>
      <c r="M19" s="1"/>
    </row>
    <row r="20" spans="1:13" x14ac:dyDescent="0.25">
      <c r="A20" s="15" t="s">
        <v>39</v>
      </c>
      <c r="B20" s="14"/>
      <c r="C20" s="13">
        <f t="shared" ref="C20:C23" si="15">C19+35000</f>
        <v>70000</v>
      </c>
      <c r="D20" s="13">
        <f t="shared" si="12"/>
        <v>1820000</v>
      </c>
      <c r="E20" s="13">
        <f t="shared" si="13"/>
        <v>1820000</v>
      </c>
      <c r="F20" s="13">
        <f t="shared" si="14"/>
        <v>17065548</v>
      </c>
    </row>
    <row r="21" spans="1:13" x14ac:dyDescent="0.25">
      <c r="A21" s="15" t="s">
        <v>39</v>
      </c>
      <c r="B21" s="14"/>
      <c r="C21" s="13">
        <f t="shared" si="15"/>
        <v>105000</v>
      </c>
      <c r="D21" s="13">
        <f t="shared" si="12"/>
        <v>2730000</v>
      </c>
      <c r="E21" s="13">
        <f t="shared" si="13"/>
        <v>2730000</v>
      </c>
      <c r="F21" s="13">
        <f t="shared" si="14"/>
        <v>16155548</v>
      </c>
    </row>
    <row r="22" spans="1:13" x14ac:dyDescent="0.25">
      <c r="A22" s="15" t="s">
        <v>39</v>
      </c>
      <c r="B22" s="14"/>
      <c r="C22" s="13">
        <f t="shared" si="15"/>
        <v>140000</v>
      </c>
      <c r="D22" s="13">
        <f t="shared" si="12"/>
        <v>3640000</v>
      </c>
      <c r="E22" s="13">
        <f t="shared" si="13"/>
        <v>3640000</v>
      </c>
      <c r="F22" s="13">
        <f t="shared" si="14"/>
        <v>15245548</v>
      </c>
    </row>
    <row r="23" spans="1:13" x14ac:dyDescent="0.25">
      <c r="A23" s="15" t="s">
        <v>39</v>
      </c>
      <c r="B23" s="14"/>
      <c r="C23" s="13">
        <f t="shared" si="15"/>
        <v>175000</v>
      </c>
      <c r="D23" s="13">
        <f t="shared" si="12"/>
        <v>4550000</v>
      </c>
      <c r="E23" s="13">
        <f t="shared" si="13"/>
        <v>4550000</v>
      </c>
      <c r="F23" s="13">
        <f t="shared" si="14"/>
        <v>14335548</v>
      </c>
    </row>
  </sheetData>
  <protectedRanges>
    <protectedRange sqref="K4:K11" name="otshedule24" securityDescriptor="O:WDG:WDD:(A;;CC;;;WD)"/>
  </protectedRange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Mahfuzur Rahman</dc:creator>
  <cp:lastModifiedBy>Md. Mahfuzur Rahman</cp:lastModifiedBy>
  <dcterms:created xsi:type="dcterms:W3CDTF">2015-06-05T18:17:20Z</dcterms:created>
  <dcterms:modified xsi:type="dcterms:W3CDTF">2026-01-06T08:33:37Z</dcterms:modified>
</cp:coreProperties>
</file>