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0. Oct\"/>
    </mc:Choice>
  </mc:AlternateContent>
  <xr:revisionPtr revIDLastSave="0" documentId="13_ncr:1_{EBD10887-FE3D-432E-9079-DD9CA16A141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A18" i="1"/>
  <c r="X13" i="1"/>
  <c r="T13" i="1"/>
  <c r="J13" i="1"/>
  <c r="H13" i="1"/>
  <c r="I13" i="1" s="1"/>
  <c r="F13" i="1"/>
  <c r="G13" i="1" s="1"/>
  <c r="E13" i="1"/>
  <c r="X12" i="1"/>
  <c r="W12" i="1"/>
  <c r="S12" i="1"/>
  <c r="Q12" i="1"/>
  <c r="O12" i="1"/>
  <c r="T12" i="1" s="1"/>
  <c r="K12" i="1"/>
  <c r="D12" i="1"/>
  <c r="B18" i="1" s="1"/>
  <c r="C12" i="1"/>
  <c r="B12" i="1"/>
  <c r="J12" i="1" s="1"/>
  <c r="X11" i="1"/>
  <c r="T11" i="1"/>
  <c r="J11" i="1"/>
  <c r="H11" i="1"/>
  <c r="I11" i="1" s="1"/>
  <c r="F11" i="1"/>
  <c r="G11" i="1" s="1"/>
  <c r="E11" i="1"/>
  <c r="X10" i="1"/>
  <c r="T10" i="1"/>
  <c r="J10" i="1"/>
  <c r="G10" i="1"/>
  <c r="F10" i="1"/>
  <c r="U10" i="1" s="1"/>
  <c r="E10" i="1"/>
  <c r="H10" i="1" s="1"/>
  <c r="X9" i="1"/>
  <c r="T9" i="1"/>
  <c r="J9" i="1"/>
  <c r="H9" i="1"/>
  <c r="I9" i="1" s="1"/>
  <c r="F9" i="1"/>
  <c r="G9" i="1" s="1"/>
  <c r="E9" i="1"/>
  <c r="X8" i="1"/>
  <c r="T8" i="1"/>
  <c r="J8" i="1"/>
  <c r="G8" i="1"/>
  <c r="F8" i="1"/>
  <c r="U8" i="1" s="1"/>
  <c r="L8" i="1" s="1"/>
  <c r="E8" i="1"/>
  <c r="H8" i="1" s="1"/>
  <c r="X7" i="1"/>
  <c r="T7" i="1"/>
  <c r="J7" i="1"/>
  <c r="H7" i="1"/>
  <c r="I7" i="1" s="1"/>
  <c r="F7" i="1"/>
  <c r="G7" i="1" s="1"/>
  <c r="E7" i="1"/>
  <c r="X6" i="1"/>
  <c r="T6" i="1"/>
  <c r="L6" i="1" s="1"/>
  <c r="J6" i="1"/>
  <c r="G6" i="1"/>
  <c r="F6" i="1"/>
  <c r="U6" i="1" s="1"/>
  <c r="E6" i="1"/>
  <c r="H6" i="1" s="1"/>
  <c r="X5" i="1"/>
  <c r="T5" i="1"/>
  <c r="J5" i="1"/>
  <c r="H5" i="1"/>
  <c r="I5" i="1" s="1"/>
  <c r="F5" i="1"/>
  <c r="G5" i="1" s="1"/>
  <c r="E5" i="1"/>
  <c r="X4" i="1"/>
  <c r="T4" i="1"/>
  <c r="J4" i="1"/>
  <c r="G4" i="1"/>
  <c r="G12" i="1" s="1"/>
  <c r="F4" i="1"/>
  <c r="U4" i="1" s="1"/>
  <c r="L4" i="1" s="1"/>
  <c r="E4" i="1"/>
  <c r="E12" i="1" s="1"/>
  <c r="H12" i="1" s="1"/>
  <c r="M12" i="1" l="1"/>
  <c r="I12" i="1"/>
  <c r="M6" i="1"/>
  <c r="I6" i="1"/>
  <c r="M8" i="1"/>
  <c r="I8" i="1"/>
  <c r="M10" i="1"/>
  <c r="I10" i="1"/>
  <c r="L10" i="1"/>
  <c r="C19" i="1"/>
  <c r="M5" i="1"/>
  <c r="M9" i="1"/>
  <c r="U5" i="1"/>
  <c r="L5" i="1" s="1"/>
  <c r="M7" i="1"/>
  <c r="U9" i="1"/>
  <c r="L9" i="1" s="1"/>
  <c r="M11" i="1"/>
  <c r="F12" i="1"/>
  <c r="U12" i="1" s="1"/>
  <c r="L12" i="1" s="1"/>
  <c r="U13" i="1"/>
  <c r="L13" i="1" s="1"/>
  <c r="U7" i="1"/>
  <c r="L7" i="1" s="1"/>
  <c r="U11" i="1"/>
  <c r="L11" i="1" s="1"/>
  <c r="M13" i="1"/>
  <c r="E18" i="1"/>
  <c r="H4" i="1"/>
  <c r="F18" i="1"/>
  <c r="M4" i="1" l="1"/>
  <c r="I4" i="1"/>
  <c r="D19" i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<sst xmlns="http://schemas.openxmlformats.org/spreadsheetml/2006/main" count="49" uniqueCount="45">
  <si>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</si>
  <si>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</si>
  <si>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11-Oct-25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</si>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</sst>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activeCell="K8" sqref="K8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84088</v>
      </c>
      <c r="C4" s="9">
        <v>2343382</v>
      </c>
      <c r="D4" s="9">
        <v>850590</v>
      </c>
      <c r="E4" s="9">
        <f t="shared" ref="E4:E11" si="0">C4-D4</f>
        <v>1492792</v>
      </c>
      <c r="F4" s="9">
        <f t="shared" ref="F4:F11" si="1">C4*W4/V4</f>
        <v>811170.69230769225</v>
      </c>
      <c r="G4" s="9">
        <f t="shared" ref="G4:G11" si="2">F4-D4</f>
        <v>-39419.307692307746</v>
      </c>
      <c r="H4" s="9">
        <f t="shared" ref="H4:H13" si="3">(E4+B4)/(X4+1)</f>
        <v>87604.444444444438</v>
      </c>
      <c r="I4" s="9">
        <f t="shared" ref="I4:I13" si="4">H4*N4</f>
        <v>622867.6</v>
      </c>
      <c r="J4" s="9">
        <f t="shared" ref="J4:J13" si="5">B4*O4</f>
        <v>577684.56000000006</v>
      </c>
      <c r="K4" s="9">
        <v>83135</v>
      </c>
      <c r="L4" s="16">
        <f t="shared" ref="L4:L13" si="6">T4/U4</f>
        <v>1.0131999455350995</v>
      </c>
      <c r="M4" s="9">
        <f t="shared" ref="M4:M13" si="7">H4/P4</f>
        <v>8760.4444444444434</v>
      </c>
      <c r="N4" s="8">
        <v>7.11</v>
      </c>
      <c r="O4" s="8">
        <v>6.87</v>
      </c>
      <c r="P4" s="8">
        <v>10</v>
      </c>
      <c r="Q4" s="8">
        <v>10.53</v>
      </c>
      <c r="R4" s="11">
        <v>0.68</v>
      </c>
      <c r="S4" s="11">
        <v>0.72549999999999992</v>
      </c>
      <c r="T4" s="9">
        <f t="shared" ref="T4:T13" si="8">O4*D4</f>
        <v>5843553.2999999998</v>
      </c>
      <c r="U4" s="9">
        <f t="shared" ref="U4:U13" si="9">N4*F4</f>
        <v>5767423.6223076917</v>
      </c>
      <c r="V4" s="8">
        <v>26</v>
      </c>
      <c r="W4" s="8">
        <v>9</v>
      </c>
      <c r="X4" s="8">
        <f t="shared" ref="X4:X13" si="10">V4-W4</f>
        <v>17</v>
      </c>
    </row>
    <row r="5" spans="1:24" x14ac:dyDescent="0.25">
      <c r="A5" s="10" t="s">
        <v>28</v>
      </c>
      <c r="B5" s="9">
        <v>10765</v>
      </c>
      <c r="C5" s="9">
        <v>285887</v>
      </c>
      <c r="D5" s="9">
        <v>105075</v>
      </c>
      <c r="E5" s="9">
        <f t="shared" si="0"/>
        <v>180812</v>
      </c>
      <c r="F5" s="9">
        <f t="shared" si="1"/>
        <v>98960.88461538461</v>
      </c>
      <c r="G5" s="9">
        <f t="shared" si="2"/>
        <v>-6114.1153846153902</v>
      </c>
      <c r="H5" s="9">
        <f t="shared" si="3"/>
        <v>10643.166666666666</v>
      </c>
      <c r="I5" s="9">
        <f t="shared" si="4"/>
        <v>63433.273333333331</v>
      </c>
      <c r="J5" s="9">
        <f t="shared" si="5"/>
        <v>64590</v>
      </c>
      <c r="K5" s="9">
        <v>10087</v>
      </c>
      <c r="L5" s="16">
        <f t="shared" si="6"/>
        <v>1.0689092135079512</v>
      </c>
      <c r="M5" s="17">
        <f t="shared" si="7"/>
        <v>1064.3166666666666</v>
      </c>
      <c r="N5" s="8">
        <v>5.96</v>
      </c>
      <c r="O5" s="8">
        <v>6</v>
      </c>
      <c r="P5" s="8">
        <v>10</v>
      </c>
      <c r="Q5" s="8">
        <v>9.35</v>
      </c>
      <c r="R5" s="11">
        <v>0.68</v>
      </c>
      <c r="S5" s="11">
        <v>0.76580000000000004</v>
      </c>
      <c r="T5" s="9">
        <f t="shared" si="8"/>
        <v>630450</v>
      </c>
      <c r="U5" s="9">
        <f t="shared" si="9"/>
        <v>589806.87230769231</v>
      </c>
      <c r="V5" s="8">
        <v>26</v>
      </c>
      <c r="W5" s="8">
        <v>9</v>
      </c>
      <c r="X5" s="8">
        <f t="shared" si="10"/>
        <v>17</v>
      </c>
    </row>
    <row r="6" spans="1:24" x14ac:dyDescent="0.25">
      <c r="A6" s="10" t="s">
        <v>29</v>
      </c>
      <c r="B6" s="9">
        <v>52868</v>
      </c>
      <c r="C6" s="9">
        <v>1652169</v>
      </c>
      <c r="D6" s="9">
        <v>456850</v>
      </c>
      <c r="E6" s="9">
        <f t="shared" si="0"/>
        <v>1195319</v>
      </c>
      <c r="F6" s="9">
        <f t="shared" si="1"/>
        <v>571904.65384615387</v>
      </c>
      <c r="G6" s="9">
        <f t="shared" si="2"/>
        <v>115054.65384615387</v>
      </c>
      <c r="H6" s="9">
        <f t="shared" si="3"/>
        <v>69343.722222222219</v>
      </c>
      <c r="I6" s="9">
        <f t="shared" si="4"/>
        <v>420916.39388888888</v>
      </c>
      <c r="J6" s="9">
        <f t="shared" si="5"/>
        <v>289716.64</v>
      </c>
      <c r="K6" s="9">
        <v>45841</v>
      </c>
      <c r="L6" s="16">
        <f t="shared" si="6"/>
        <v>0.72117699739040064</v>
      </c>
      <c r="M6" s="9">
        <f t="shared" si="7"/>
        <v>6604.1640211640206</v>
      </c>
      <c r="N6" s="8">
        <v>6.07</v>
      </c>
      <c r="O6" s="8">
        <v>5.48</v>
      </c>
      <c r="P6" s="8">
        <v>10.5</v>
      </c>
      <c r="Q6" s="8">
        <v>8.61</v>
      </c>
      <c r="R6" s="11">
        <v>0.72</v>
      </c>
      <c r="S6" s="11">
        <v>0.77390000000000003</v>
      </c>
      <c r="T6" s="9">
        <f t="shared" si="8"/>
        <v>2503538</v>
      </c>
      <c r="U6" s="9">
        <f t="shared" si="9"/>
        <v>3471461.2488461542</v>
      </c>
      <c r="V6" s="8">
        <v>26</v>
      </c>
      <c r="W6" s="8">
        <v>9</v>
      </c>
      <c r="X6" s="8">
        <f t="shared" si="10"/>
        <v>17</v>
      </c>
    </row>
    <row r="7" spans="1:24" x14ac:dyDescent="0.25">
      <c r="A7" s="10" t="s">
        <v>30</v>
      </c>
      <c r="B7" s="9">
        <v>62007</v>
      </c>
      <c r="C7" s="9">
        <v>1755763</v>
      </c>
      <c r="D7" s="9">
        <v>578510</v>
      </c>
      <c r="E7" s="9">
        <f t="shared" si="0"/>
        <v>1177253</v>
      </c>
      <c r="F7" s="9">
        <f t="shared" si="1"/>
        <v>607764.11538461538</v>
      </c>
      <c r="G7" s="9">
        <f t="shared" si="2"/>
        <v>29254.115384615376</v>
      </c>
      <c r="H7" s="9">
        <f t="shared" si="3"/>
        <v>68847.777777777781</v>
      </c>
      <c r="I7" s="9">
        <f t="shared" si="4"/>
        <v>710509.06666666677</v>
      </c>
      <c r="J7" s="9">
        <f t="shared" si="5"/>
        <v>585346.07999999996</v>
      </c>
      <c r="K7" s="9">
        <v>70171</v>
      </c>
      <c r="L7" s="16">
        <f t="shared" si="6"/>
        <v>0.87069913561381673</v>
      </c>
      <c r="M7" s="9">
        <f t="shared" si="7"/>
        <v>7649.7530864197533</v>
      </c>
      <c r="N7" s="8">
        <v>10.32</v>
      </c>
      <c r="O7" s="8">
        <v>9.44</v>
      </c>
      <c r="P7" s="8">
        <v>9</v>
      </c>
      <c r="Q7" s="8">
        <v>9.82</v>
      </c>
      <c r="R7" s="11">
        <v>0.6</v>
      </c>
      <c r="S7" s="11">
        <v>0.61570000000000003</v>
      </c>
      <c r="T7" s="9">
        <f t="shared" si="8"/>
        <v>5461134.3999999994</v>
      </c>
      <c r="U7" s="9">
        <f t="shared" si="9"/>
        <v>6272125.6707692305</v>
      </c>
      <c r="V7" s="8">
        <v>26</v>
      </c>
      <c r="W7" s="8">
        <v>9</v>
      </c>
      <c r="X7" s="8">
        <f t="shared" si="10"/>
        <v>17</v>
      </c>
    </row>
    <row r="8" spans="1:24" x14ac:dyDescent="0.25">
      <c r="A8" s="10" t="s">
        <v>31</v>
      </c>
      <c r="B8" s="9">
        <v>64215</v>
      </c>
      <c r="C8" s="9">
        <v>2319422</v>
      </c>
      <c r="D8" s="9">
        <v>748006</v>
      </c>
      <c r="E8" s="9">
        <f t="shared" si="0"/>
        <v>1571416</v>
      </c>
      <c r="F8" s="9">
        <f t="shared" si="1"/>
        <v>802876.84615384613</v>
      </c>
      <c r="G8" s="9">
        <f t="shared" si="2"/>
        <v>54870.846153846127</v>
      </c>
      <c r="H8" s="9">
        <f t="shared" si="3"/>
        <v>90868.388888888891</v>
      </c>
      <c r="I8" s="9">
        <f t="shared" si="4"/>
        <v>681512.91666666663</v>
      </c>
      <c r="J8" s="9">
        <f t="shared" si="5"/>
        <v>446936.4</v>
      </c>
      <c r="K8" s="9">
        <v>68948</v>
      </c>
      <c r="L8" s="16">
        <f t="shared" si="6"/>
        <v>0.86457788803513214</v>
      </c>
      <c r="M8" s="9">
        <f t="shared" si="7"/>
        <v>9086.8388888888894</v>
      </c>
      <c r="N8" s="8">
        <v>7.5</v>
      </c>
      <c r="O8" s="8">
        <v>6.96</v>
      </c>
      <c r="P8" s="8">
        <v>10</v>
      </c>
      <c r="Q8" s="8">
        <v>9.6300000000000008</v>
      </c>
      <c r="R8" s="11">
        <v>0.64</v>
      </c>
      <c r="S8" s="11">
        <v>0.67720000000000002</v>
      </c>
      <c r="T8" s="9">
        <f t="shared" si="8"/>
        <v>5206121.76</v>
      </c>
      <c r="U8" s="9">
        <f t="shared" si="9"/>
        <v>6021576.346153846</v>
      </c>
      <c r="V8" s="8">
        <v>26</v>
      </c>
      <c r="W8" s="8">
        <v>9</v>
      </c>
      <c r="X8" s="8">
        <f t="shared" si="10"/>
        <v>17</v>
      </c>
    </row>
    <row r="9" spans="1:24" x14ac:dyDescent="0.25">
      <c r="A9" s="10" t="s">
        <v>32</v>
      </c>
      <c r="B9" s="9">
        <v>90575</v>
      </c>
      <c r="C9" s="9">
        <v>2196792</v>
      </c>
      <c r="D9" s="9">
        <v>848619</v>
      </c>
      <c r="E9" s="9">
        <f t="shared" si="0"/>
        <v>1348173</v>
      </c>
      <c r="F9" s="9">
        <f t="shared" si="1"/>
        <v>760428</v>
      </c>
      <c r="G9" s="9">
        <f t="shared" si="2"/>
        <v>-88191</v>
      </c>
      <c r="H9" s="9">
        <f t="shared" si="3"/>
        <v>79930.444444444438</v>
      </c>
      <c r="I9" s="9">
        <f t="shared" si="4"/>
        <v>629851.90222222218</v>
      </c>
      <c r="J9" s="9">
        <f t="shared" si="5"/>
        <v>660291.75</v>
      </c>
      <c r="K9" s="9">
        <v>96029</v>
      </c>
      <c r="L9" s="16">
        <f t="shared" si="6"/>
        <v>1.0324189374490385</v>
      </c>
      <c r="M9" s="9">
        <f t="shared" si="7"/>
        <v>7993.0444444444438</v>
      </c>
      <c r="N9" s="8">
        <v>7.88</v>
      </c>
      <c r="O9" s="8">
        <v>7.29</v>
      </c>
      <c r="P9" s="8">
        <v>10</v>
      </c>
      <c r="Q9" s="8">
        <v>12.51</v>
      </c>
      <c r="R9" s="11">
        <v>0.68</v>
      </c>
      <c r="S9" s="11">
        <v>0.63990000000000002</v>
      </c>
      <c r="T9" s="9">
        <f t="shared" si="8"/>
        <v>6186432.5099999998</v>
      </c>
      <c r="U9" s="9">
        <f t="shared" si="9"/>
        <v>5992172.6399999997</v>
      </c>
      <c r="V9" s="8">
        <v>26</v>
      </c>
      <c r="W9" s="8">
        <v>9</v>
      </c>
      <c r="X9" s="8">
        <f t="shared" si="10"/>
        <v>17</v>
      </c>
    </row>
    <row r="10" spans="1:24" ht="14.25" customHeight="1" x14ac:dyDescent="0.25">
      <c r="A10" s="10" t="s">
        <v>33</v>
      </c>
      <c r="B10" s="9">
        <v>95281</v>
      </c>
      <c r="C10" s="9">
        <v>3634362</v>
      </c>
      <c r="D10" s="9">
        <v>958305</v>
      </c>
      <c r="E10" s="9">
        <f t="shared" si="0"/>
        <v>2676057</v>
      </c>
      <c r="F10" s="9">
        <f t="shared" si="1"/>
        <v>1258048.3846153845</v>
      </c>
      <c r="G10" s="9">
        <f t="shared" si="2"/>
        <v>299743.38461538451</v>
      </c>
      <c r="H10" s="9">
        <f t="shared" si="3"/>
        <v>153963.22222222222</v>
      </c>
      <c r="I10" s="9">
        <f t="shared" si="4"/>
        <v>1334861.1366666667</v>
      </c>
      <c r="J10" s="9">
        <f t="shared" si="5"/>
        <v>745097.42</v>
      </c>
      <c r="K10" s="9">
        <v>105241</v>
      </c>
      <c r="L10" s="16">
        <f t="shared" si="6"/>
        <v>0.68705905113181986</v>
      </c>
      <c r="M10" s="9">
        <f t="shared" si="7"/>
        <v>15396.322222222221</v>
      </c>
      <c r="N10" s="8">
        <v>8.67</v>
      </c>
      <c r="O10" s="8">
        <v>7.82</v>
      </c>
      <c r="P10" s="8">
        <v>10</v>
      </c>
      <c r="Q10" s="8">
        <v>8.57</v>
      </c>
      <c r="R10" s="11">
        <v>0.65</v>
      </c>
      <c r="S10" s="11">
        <v>0.68779999999999997</v>
      </c>
      <c r="T10" s="9">
        <f t="shared" si="8"/>
        <v>7493945.1000000006</v>
      </c>
      <c r="U10" s="9">
        <f t="shared" si="9"/>
        <v>10907279.494615383</v>
      </c>
      <c r="V10" s="8">
        <v>26</v>
      </c>
      <c r="W10" s="8">
        <v>9</v>
      </c>
      <c r="X10" s="8">
        <f t="shared" si="10"/>
        <v>17</v>
      </c>
    </row>
    <row r="11" spans="1:24" ht="14.25" customHeight="1" thickBot="1" x14ac:dyDescent="0.3">
      <c r="A11" s="21" t="s">
        <v>34</v>
      </c>
      <c r="B11" s="22">
        <v>0</v>
      </c>
      <c r="C11" s="22">
        <v>335974</v>
      </c>
      <c r="D11" s="22">
        <v>55397</v>
      </c>
      <c r="E11" s="9">
        <f t="shared" si="0"/>
        <v>280577</v>
      </c>
      <c r="F11" s="9">
        <f t="shared" si="1"/>
        <v>116298.69230769231</v>
      </c>
      <c r="G11" s="9">
        <f t="shared" si="2"/>
        <v>60901.692307692312</v>
      </c>
      <c r="H11" s="9">
        <f t="shared" si="3"/>
        <v>15587.611111111111</v>
      </c>
      <c r="I11" s="9">
        <f t="shared" si="4"/>
        <v>103034.10944444445</v>
      </c>
      <c r="J11" s="9">
        <f t="shared" si="5"/>
        <v>0</v>
      </c>
      <c r="K11" s="9">
        <v>0</v>
      </c>
      <c r="L11" s="16">
        <f t="shared" si="6"/>
        <v>7.7827613038315299E-2</v>
      </c>
      <c r="M11" s="9">
        <f t="shared" si="7"/>
        <v>1948.4513888888889</v>
      </c>
      <c r="N11" s="18">
        <v>6.61</v>
      </c>
      <c r="O11" s="18">
        <v>1.08</v>
      </c>
      <c r="P11" s="18">
        <v>8</v>
      </c>
      <c r="Q11" s="18">
        <v>8.0299999999999994</v>
      </c>
      <c r="R11" s="19">
        <v>0.63</v>
      </c>
      <c r="S11" s="19">
        <v>4.5999999999999999E-2</v>
      </c>
      <c r="T11" s="9">
        <f t="shared" si="8"/>
        <v>59828.76</v>
      </c>
      <c r="U11" s="9">
        <f t="shared" si="9"/>
        <v>768734.35615384625</v>
      </c>
      <c r="V11" s="18">
        <v>26</v>
      </c>
      <c r="W11" s="18">
        <v>9</v>
      </c>
      <c r="X11" s="8">
        <f t="shared" si="10"/>
        <v>17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459799</v>
      </c>
      <c r="C12" s="7">
        <f t="shared" si="11"/>
        <v>14523751</v>
      </c>
      <c r="D12" s="7">
        <f t="shared" si="11"/>
        <v>4601352</v>
      </c>
      <c r="E12" s="7">
        <f t="shared" si="11"/>
        <v>9922399</v>
      </c>
      <c r="F12" s="7">
        <f t="shared" si="11"/>
        <v>5027452.2692307681</v>
      </c>
      <c r="G12" s="7">
        <f t="shared" si="11"/>
        <v>426100.26923076907</v>
      </c>
      <c r="H12" s="7">
        <f t="shared" si="3"/>
        <v>576788.77777777775</v>
      </c>
      <c r="I12" s="7">
        <f t="shared" si="4"/>
        <v>4550863.4566666661</v>
      </c>
      <c r="J12" s="7">
        <f t="shared" si="5"/>
        <v>2927770.1324999998</v>
      </c>
      <c r="K12" s="7">
        <f>SUM(K4:K11)</f>
        <v>479452</v>
      </c>
      <c r="L12" s="12">
        <f t="shared" si="6"/>
        <v>0.73863426758758866</v>
      </c>
      <c r="M12" s="7">
        <f t="shared" si="7"/>
        <v>58320.402201999772</v>
      </c>
      <c r="N12" s="6">
        <v>7.89</v>
      </c>
      <c r="O12" s="6">
        <f>AVERAGE(O4:O11)</f>
        <v>6.3674999999999997</v>
      </c>
      <c r="P12" s="6">
        <v>9.89</v>
      </c>
      <c r="Q12" s="6">
        <f>AVERAGE(Q4:Q11)</f>
        <v>9.6312500000000014</v>
      </c>
      <c r="R12" s="12">
        <v>0.65659999999999996</v>
      </c>
      <c r="S12" s="12">
        <f>AVERAGE(S4:S11)</f>
        <v>0.61647500000000011</v>
      </c>
      <c r="T12" s="7">
        <f t="shared" si="8"/>
        <v>29299108.859999999</v>
      </c>
      <c r="U12" s="7">
        <f t="shared" si="9"/>
        <v>39666598.404230759</v>
      </c>
      <c r="V12" s="6">
        <v>26</v>
      </c>
      <c r="W12" s="6">
        <f>W11</f>
        <v>9</v>
      </c>
      <c r="X12" s="6">
        <f t="shared" si="10"/>
        <v>17</v>
      </c>
    </row>
    <row r="13" spans="1:24" ht="15.75" customHeight="1" thickTop="1" x14ac:dyDescent="0.25">
      <c r="A13" s="10" t="s">
        <v>36</v>
      </c>
      <c r="B13" s="9">
        <v>129300</v>
      </c>
      <c r="C13" s="9">
        <v>3013766</v>
      </c>
      <c r="D13" s="9">
        <v>1179930</v>
      </c>
      <c r="E13" s="9">
        <f>C13-D13</f>
        <v>1833836</v>
      </c>
      <c r="F13" s="9">
        <f>C13*W13/V13</f>
        <v>1043226.6923076923</v>
      </c>
      <c r="G13" s="9">
        <f>F13-D13</f>
        <v>-136703.30769230775</v>
      </c>
      <c r="H13" s="9">
        <f t="shared" si="3"/>
        <v>109063.11111111111</v>
      </c>
      <c r="I13" s="9">
        <f t="shared" si="4"/>
        <v>424255.50222222222</v>
      </c>
      <c r="J13" s="9">
        <f t="shared" si="5"/>
        <v>531423</v>
      </c>
      <c r="K13" s="9">
        <v>115859</v>
      </c>
      <c r="L13" s="16">
        <f t="shared" si="6"/>
        <v>1.1950051401411124</v>
      </c>
      <c r="M13" s="9">
        <f t="shared" si="7"/>
        <v>12365.432098765432</v>
      </c>
      <c r="N13" s="8">
        <v>3.89</v>
      </c>
      <c r="O13" s="8">
        <v>4.1100000000000003</v>
      </c>
      <c r="P13" s="8">
        <v>8.82</v>
      </c>
      <c r="Q13" s="8">
        <v>10.47</v>
      </c>
      <c r="R13" s="11">
        <v>0.74</v>
      </c>
      <c r="S13" s="11">
        <v>0.75639999999999996</v>
      </c>
      <c r="T13" s="9">
        <f t="shared" si="8"/>
        <v>4849512.3000000007</v>
      </c>
      <c r="U13" s="9">
        <f t="shared" si="9"/>
        <v>4058151.8330769232</v>
      </c>
      <c r="V13" s="8">
        <v>26</v>
      </c>
      <c r="W13" s="8">
        <v>9</v>
      </c>
      <c r="X13" s="8">
        <f t="shared" si="10"/>
        <v>17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14523751</v>
      </c>
      <c r="B18" s="13">
        <f>D12</f>
        <v>4601352</v>
      </c>
      <c r="C18" s="13">
        <f>QUOTIENT(B12,10000)*10000</f>
        <v>450000</v>
      </c>
      <c r="D18" s="13">
        <f t="shared" ref="D18:D23" si="12">C18*$X$12</f>
        <v>7650000</v>
      </c>
      <c r="E18" s="13">
        <f t="shared" ref="E18:E23" si="13">$D$12+D18</f>
        <v>12251352</v>
      </c>
      <c r="F18" s="13">
        <f t="shared" ref="F18:F23" si="14">$C$12-E18</f>
        <v>2272399</v>
      </c>
      <c r="M18" s="1"/>
    </row>
    <row r="19" spans="1:13" x14ac:dyDescent="0.25">
      <c r="A19" s="15" t="s">
        <v>44</v>
      </c>
      <c r="B19" s="14"/>
      <c r="C19" s="13">
        <f>C18+35000</f>
        <v>485000</v>
      </c>
      <c r="D19" s="13">
        <f t="shared" si="12"/>
        <v>8245000</v>
      </c>
      <c r="E19" s="13">
        <f t="shared" si="13"/>
        <v>12846352</v>
      </c>
      <c r="F19" s="13">
        <f t="shared" si="14"/>
        <v>1677399</v>
      </c>
      <c r="M19" s="1"/>
    </row>
    <row r="20" spans="1:13" x14ac:dyDescent="0.25">
      <c r="A20" s="15" t="s">
        <v>44</v>
      </c>
      <c r="B20" s="14"/>
      <c r="C20" s="13">
        <f>C19+35000</f>
        <v>520000</v>
      </c>
      <c r="D20" s="13">
        <f t="shared" si="12"/>
        <v>8840000</v>
      </c>
      <c r="E20" s="13">
        <f t="shared" si="13"/>
        <v>13441352</v>
      </c>
      <c r="F20" s="13">
        <f t="shared" si="14"/>
        <v>1082399</v>
      </c>
    </row>
    <row r="21" spans="1:13" x14ac:dyDescent="0.25">
      <c r="A21" s="15" t="s">
        <v>44</v>
      </c>
      <c r="B21" s="14"/>
      <c r="C21" s="13">
        <f>C20+35000</f>
        <v>555000</v>
      </c>
      <c r="D21" s="13">
        <f t="shared" si="12"/>
        <v>9435000</v>
      </c>
      <c r="E21" s="13">
        <f t="shared" si="13"/>
        <v>14036352</v>
      </c>
      <c r="F21" s="13">
        <f t="shared" si="14"/>
        <v>487399</v>
      </c>
    </row>
    <row r="22" spans="1:13" x14ac:dyDescent="0.25">
      <c r="A22" s="15" t="s">
        <v>44</v>
      </c>
      <c r="B22" s="14"/>
      <c r="C22" s="13">
        <f>C21+35000</f>
        <v>590000</v>
      </c>
      <c r="D22" s="13">
        <f t="shared" si="12"/>
        <v>10030000</v>
      </c>
      <c r="E22" s="13">
        <f t="shared" si="13"/>
        <v>14631352</v>
      </c>
      <c r="F22" s="13">
        <f t="shared" si="14"/>
        <v>-107601</v>
      </c>
    </row>
    <row r="23" spans="1:13" x14ac:dyDescent="0.25">
      <c r="A23" s="15" t="s">
        <v>44</v>
      </c>
      <c r="B23" s="14"/>
      <c r="C23" s="13">
        <f>C22+35000</f>
        <v>625000</v>
      </c>
      <c r="D23" s="13">
        <f t="shared" si="12"/>
        <v>10625000</v>
      </c>
      <c r="E23" s="13">
        <f t="shared" si="13"/>
        <v>15226352</v>
      </c>
      <c r="F23" s="13">
        <f t="shared" si="14"/>
        <v>-702601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2025-10-12T05:13:23Z</dcterms:modified>
</cp:coreProperties>
</file>