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0. Oct\"/>
    </mc:Choice>
  </mc:AlternateContent>
  <xr:revisionPtr revIDLastSave="0" documentId="13_ncr:1_{3F4256EA-9F48-4080-9DB7-897FCF938307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J12" i="1" s="1"/>
  <c r="X11" i="1"/>
  <c r="T11" i="1"/>
  <c r="J11" i="1"/>
  <c r="H11" i="1"/>
  <c r="I11" i="1" s="1"/>
  <c r="F11" i="1"/>
  <c r="G11" i="1" s="1"/>
  <c r="E11" i="1"/>
  <c r="X10" i="1"/>
  <c r="T10" i="1"/>
  <c r="J10" i="1"/>
  <c r="G10" i="1"/>
  <c r="F10" i="1"/>
  <c r="U10" i="1" s="1"/>
  <c r="L10" i="1" s="1"/>
  <c r="E10" i="1"/>
  <c r="H10" i="1" s="1"/>
  <c r="X9" i="1"/>
  <c r="T9" i="1"/>
  <c r="J9" i="1"/>
  <c r="H9" i="1"/>
  <c r="I9" i="1" s="1"/>
  <c r="F9" i="1"/>
  <c r="U9" i="1" s="1"/>
  <c r="L9" i="1" s="1"/>
  <c r="E9" i="1"/>
  <c r="X8" i="1"/>
  <c r="T8" i="1"/>
  <c r="L8" i="1" s="1"/>
  <c r="J8" i="1"/>
  <c r="G8" i="1"/>
  <c r="F8" i="1"/>
  <c r="U8" i="1" s="1"/>
  <c r="E8" i="1"/>
  <c r="H8" i="1" s="1"/>
  <c r="X7" i="1"/>
  <c r="T7" i="1"/>
  <c r="J7" i="1"/>
  <c r="H7" i="1"/>
  <c r="I7" i="1" s="1"/>
  <c r="F7" i="1"/>
  <c r="G7" i="1" s="1"/>
  <c r="E7" i="1"/>
  <c r="X6" i="1"/>
  <c r="T6" i="1"/>
  <c r="J6" i="1"/>
  <c r="G6" i="1"/>
  <c r="F6" i="1"/>
  <c r="U6" i="1" s="1"/>
  <c r="L6" i="1" s="1"/>
  <c r="E6" i="1"/>
  <c r="H6" i="1" s="1"/>
  <c r="X5" i="1"/>
  <c r="T5" i="1"/>
  <c r="J5" i="1"/>
  <c r="H5" i="1"/>
  <c r="I5" i="1" s="1"/>
  <c r="F5" i="1"/>
  <c r="F12" i="1" s="1"/>
  <c r="U12" i="1" s="1"/>
  <c r="E5" i="1"/>
  <c r="X4" i="1"/>
  <c r="T4" i="1"/>
  <c r="L4" i="1" s="1"/>
  <c r="J4" i="1"/>
  <c r="G4" i="1"/>
  <c r="F4" i="1"/>
  <c r="U4" i="1" s="1"/>
  <c r="E4" i="1"/>
  <c r="E12" i="1" s="1"/>
  <c r="H12" i="1" s="1"/>
  <c r="I6" i="1" l="1"/>
  <c r="M6" i="1"/>
  <c r="M12" i="1"/>
  <c r="I12" i="1"/>
  <c r="M8" i="1"/>
  <c r="I8" i="1"/>
  <c r="I10" i="1"/>
  <c r="M10" i="1"/>
  <c r="L12" i="1"/>
  <c r="I13" i="1"/>
  <c r="M13" i="1"/>
  <c r="C18" i="1"/>
  <c r="M7" i="1"/>
  <c r="M11" i="1"/>
  <c r="U13" i="1"/>
  <c r="L13" i="1" s="1"/>
  <c r="G5" i="1"/>
  <c r="G12" i="1" s="1"/>
  <c r="G9" i="1"/>
  <c r="U5" i="1"/>
  <c r="L5" i="1" s="1"/>
  <c r="M5" i="1"/>
  <c r="U7" i="1"/>
  <c r="L7" i="1" s="1"/>
  <c r="M9" i="1"/>
  <c r="U11" i="1"/>
  <c r="L11" i="1" s="1"/>
  <c r="A18" i="1"/>
  <c r="H4" i="1"/>
  <c r="D18" i="1" l="1"/>
  <c r="E18" i="1" s="1"/>
  <c r="F18" i="1" s="1"/>
  <c r="C19" i="1"/>
  <c r="M4" i="1"/>
  <c r="I4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<sst xmlns="http://schemas.openxmlformats.org/spreadsheetml/2006/main" count="49" uniqueCount="45">
  <si>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</si>
  <si>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</si>
  <si>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28-Oct-25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</si>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</sst>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activeCell="E16" sqref="E16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84003</v>
      </c>
      <c r="C4" s="9">
        <v>2343382</v>
      </c>
      <c r="D4" s="9">
        <v>2172096</v>
      </c>
      <c r="E4" s="9">
        <f t="shared" ref="E4:E11" si="0">C4-D4</f>
        <v>171286</v>
      </c>
      <c r="F4" s="9">
        <f t="shared" ref="F4:F11" si="1">C4*W4/V4</f>
        <v>2163121.846153846</v>
      </c>
      <c r="G4" s="9">
        <f t="shared" ref="G4:G11" si="2">F4-D4</f>
        <v>-8974.1538461539894</v>
      </c>
      <c r="H4" s="9">
        <f t="shared" ref="H4:H13" si="3">(E4+B4)/(X4+1)</f>
        <v>85096.333333333328</v>
      </c>
      <c r="I4" s="9">
        <f t="shared" ref="I4:I13" si="4">H4*N4</f>
        <v>605034.92999999993</v>
      </c>
      <c r="J4" s="9">
        <f t="shared" ref="J4:J13" si="5">B4*O4</f>
        <v>598101.36</v>
      </c>
      <c r="K4" s="9">
        <v>83364</v>
      </c>
      <c r="L4" s="16">
        <f t="shared" ref="L4:L13" si="6">T4/U4</f>
        <v>1.00556100952395</v>
      </c>
      <c r="M4" s="9">
        <f t="shared" ref="M4:M13" si="7">H4/P4</f>
        <v>8509.6333333333332</v>
      </c>
      <c r="N4" s="8">
        <v>7.11</v>
      </c>
      <c r="O4" s="8">
        <v>7.12</v>
      </c>
      <c r="P4" s="8">
        <v>10</v>
      </c>
      <c r="Q4" s="8">
        <v>10.4</v>
      </c>
      <c r="R4" s="11">
        <v>0.68</v>
      </c>
      <c r="S4" s="11">
        <v>0.71950000000000003</v>
      </c>
      <c r="T4" s="9">
        <f t="shared" ref="T4:T13" si="8">O4*D4</f>
        <v>15465323.52</v>
      </c>
      <c r="U4" s="9">
        <f t="shared" ref="U4:U13" si="9">N4*F4</f>
        <v>15379796.326153846</v>
      </c>
      <c r="V4" s="8">
        <v>26</v>
      </c>
      <c r="W4" s="8">
        <v>24</v>
      </c>
      <c r="X4" s="8">
        <f t="shared" ref="X4:X13" si="10">V4-W4</f>
        <v>2</v>
      </c>
    </row>
    <row r="5" spans="1:24" x14ac:dyDescent="0.25">
      <c r="A5" s="10" t="s">
        <v>28</v>
      </c>
      <c r="B5" s="9">
        <v>10190</v>
      </c>
      <c r="C5" s="9">
        <v>285887</v>
      </c>
      <c r="D5" s="9">
        <v>263430</v>
      </c>
      <c r="E5" s="9">
        <f t="shared" si="0"/>
        <v>22457</v>
      </c>
      <c r="F5" s="9">
        <f t="shared" si="1"/>
        <v>263895.69230769231</v>
      </c>
      <c r="G5" s="9">
        <f t="shared" si="2"/>
        <v>465.69230769231217</v>
      </c>
      <c r="H5" s="9">
        <f t="shared" si="3"/>
        <v>10882.333333333334</v>
      </c>
      <c r="I5" s="9">
        <f t="shared" si="4"/>
        <v>64858.706666666672</v>
      </c>
      <c r="J5" s="9">
        <f t="shared" si="5"/>
        <v>61751.399999999994</v>
      </c>
      <c r="K5" s="9">
        <v>9699</v>
      </c>
      <c r="L5" s="16">
        <f t="shared" si="6"/>
        <v>1.0149842314616115</v>
      </c>
      <c r="M5" s="17">
        <f t="shared" si="7"/>
        <v>1088.2333333333333</v>
      </c>
      <c r="N5" s="8">
        <v>5.96</v>
      </c>
      <c r="O5" s="8">
        <v>6.06</v>
      </c>
      <c r="P5" s="8">
        <v>10</v>
      </c>
      <c r="Q5" s="8">
        <v>8.9</v>
      </c>
      <c r="R5" s="11">
        <v>0.68</v>
      </c>
      <c r="S5" s="11">
        <v>0.75709999999999988</v>
      </c>
      <c r="T5" s="9">
        <f t="shared" si="8"/>
        <v>1596385.7999999998</v>
      </c>
      <c r="U5" s="9">
        <f t="shared" si="9"/>
        <v>1572818.3261538462</v>
      </c>
      <c r="V5" s="8">
        <v>26</v>
      </c>
      <c r="W5" s="8">
        <v>24</v>
      </c>
      <c r="X5" s="8">
        <f t="shared" si="10"/>
        <v>2</v>
      </c>
    </row>
    <row r="6" spans="1:24" x14ac:dyDescent="0.25">
      <c r="A6" s="10" t="s">
        <v>29</v>
      </c>
      <c r="B6" s="9">
        <v>53655</v>
      </c>
      <c r="C6" s="9">
        <v>1652169</v>
      </c>
      <c r="D6" s="9">
        <v>1345704</v>
      </c>
      <c r="E6" s="9">
        <f t="shared" si="0"/>
        <v>306465</v>
      </c>
      <c r="F6" s="9">
        <f t="shared" si="1"/>
        <v>1525079.076923077</v>
      </c>
      <c r="G6" s="9">
        <f t="shared" si="2"/>
        <v>179375.07692307699</v>
      </c>
      <c r="H6" s="9">
        <f t="shared" si="3"/>
        <v>120040</v>
      </c>
      <c r="I6" s="9">
        <f t="shared" si="4"/>
        <v>728642.8</v>
      </c>
      <c r="J6" s="9">
        <f t="shared" si="5"/>
        <v>285981.15000000002</v>
      </c>
      <c r="K6" s="9">
        <v>49549</v>
      </c>
      <c r="L6" s="16">
        <f t="shared" si="6"/>
        <v>0.77481085836519492</v>
      </c>
      <c r="M6" s="9">
        <f t="shared" si="7"/>
        <v>11432.380952380952</v>
      </c>
      <c r="N6" s="8">
        <v>6.07</v>
      </c>
      <c r="O6" s="8">
        <v>5.33</v>
      </c>
      <c r="P6" s="8">
        <v>10.5</v>
      </c>
      <c r="Q6" s="8">
        <v>9.24</v>
      </c>
      <c r="R6" s="11">
        <v>0.72</v>
      </c>
      <c r="S6" s="11">
        <v>0.77599999999999991</v>
      </c>
      <c r="T6" s="9">
        <f t="shared" si="8"/>
        <v>7172602.3200000003</v>
      </c>
      <c r="U6" s="9">
        <f t="shared" si="9"/>
        <v>9257229.9969230779</v>
      </c>
      <c r="V6" s="8">
        <v>26</v>
      </c>
      <c r="W6" s="8">
        <v>24</v>
      </c>
      <c r="X6" s="8">
        <f t="shared" si="10"/>
        <v>2</v>
      </c>
    </row>
    <row r="7" spans="1:24" x14ac:dyDescent="0.25">
      <c r="A7" s="10" t="s">
        <v>30</v>
      </c>
      <c r="B7" s="9">
        <v>52694</v>
      </c>
      <c r="C7" s="9">
        <v>1755763</v>
      </c>
      <c r="D7" s="9">
        <v>1474540</v>
      </c>
      <c r="E7" s="9">
        <f t="shared" si="0"/>
        <v>281223</v>
      </c>
      <c r="F7" s="9">
        <f t="shared" si="1"/>
        <v>1620704.3076923077</v>
      </c>
      <c r="G7" s="9">
        <f t="shared" si="2"/>
        <v>146164.30769230775</v>
      </c>
      <c r="H7" s="9">
        <f t="shared" si="3"/>
        <v>111305.66666666667</v>
      </c>
      <c r="I7" s="9">
        <f t="shared" si="4"/>
        <v>1148674.48</v>
      </c>
      <c r="J7" s="9">
        <f t="shared" si="5"/>
        <v>513766.5</v>
      </c>
      <c r="K7" s="9">
        <v>62314</v>
      </c>
      <c r="L7" s="16">
        <f t="shared" si="6"/>
        <v>0.85956295488875267</v>
      </c>
      <c r="M7" s="9">
        <f t="shared" si="7"/>
        <v>12367.296296296297</v>
      </c>
      <c r="N7" s="8">
        <v>10.32</v>
      </c>
      <c r="O7" s="8">
        <v>9.75</v>
      </c>
      <c r="P7" s="8">
        <v>9</v>
      </c>
      <c r="Q7" s="8">
        <v>8.66</v>
      </c>
      <c r="R7" s="11">
        <v>0.6</v>
      </c>
      <c r="S7" s="11">
        <v>0.57340000000000002</v>
      </c>
      <c r="T7" s="9">
        <f t="shared" si="8"/>
        <v>14376765</v>
      </c>
      <c r="U7" s="9">
        <f t="shared" si="9"/>
        <v>16725668.455384616</v>
      </c>
      <c r="V7" s="8">
        <v>26</v>
      </c>
      <c r="W7" s="8">
        <v>24</v>
      </c>
      <c r="X7" s="8">
        <f t="shared" si="10"/>
        <v>2</v>
      </c>
    </row>
    <row r="8" spans="1:24" x14ac:dyDescent="0.25">
      <c r="A8" s="10" t="s">
        <v>31</v>
      </c>
      <c r="B8" s="9">
        <v>74756</v>
      </c>
      <c r="C8" s="9">
        <v>2319422</v>
      </c>
      <c r="D8" s="9">
        <v>1934349</v>
      </c>
      <c r="E8" s="9">
        <f t="shared" si="0"/>
        <v>385073</v>
      </c>
      <c r="F8" s="9">
        <f t="shared" si="1"/>
        <v>2141004.923076923</v>
      </c>
      <c r="G8" s="9">
        <f t="shared" si="2"/>
        <v>206655.92307692301</v>
      </c>
      <c r="H8" s="9">
        <f t="shared" si="3"/>
        <v>153276.33333333334</v>
      </c>
      <c r="I8" s="9">
        <f t="shared" si="4"/>
        <v>1149572.5</v>
      </c>
      <c r="J8" s="9">
        <f t="shared" si="5"/>
        <v>538243.20000000007</v>
      </c>
      <c r="K8" s="9">
        <v>85036</v>
      </c>
      <c r="L8" s="16">
        <f t="shared" si="6"/>
        <v>0.86733805232510519</v>
      </c>
      <c r="M8" s="9">
        <f t="shared" si="7"/>
        <v>15327.633333333335</v>
      </c>
      <c r="N8" s="8">
        <v>7.5</v>
      </c>
      <c r="O8" s="8">
        <v>7.2</v>
      </c>
      <c r="P8" s="8">
        <v>10</v>
      </c>
      <c r="Q8" s="8">
        <v>9.5</v>
      </c>
      <c r="R8" s="11">
        <v>0.64</v>
      </c>
      <c r="S8" s="11">
        <v>0.67709999999999992</v>
      </c>
      <c r="T8" s="9">
        <f t="shared" si="8"/>
        <v>13927312.800000001</v>
      </c>
      <c r="U8" s="9">
        <f t="shared" si="9"/>
        <v>16057536.923076922</v>
      </c>
      <c r="V8" s="8">
        <v>26</v>
      </c>
      <c r="W8" s="8">
        <v>24</v>
      </c>
      <c r="X8" s="8">
        <f t="shared" si="10"/>
        <v>2</v>
      </c>
    </row>
    <row r="9" spans="1:24" x14ac:dyDescent="0.25">
      <c r="A9" s="10" t="s">
        <v>32</v>
      </c>
      <c r="B9" s="9">
        <v>71564</v>
      </c>
      <c r="C9" s="9">
        <v>2196792</v>
      </c>
      <c r="D9" s="9">
        <v>2042889</v>
      </c>
      <c r="E9" s="9">
        <f t="shared" si="0"/>
        <v>153903</v>
      </c>
      <c r="F9" s="9">
        <f t="shared" si="1"/>
        <v>2027808</v>
      </c>
      <c r="G9" s="9">
        <f t="shared" si="2"/>
        <v>-15081</v>
      </c>
      <c r="H9" s="9">
        <f t="shared" si="3"/>
        <v>75155.666666666672</v>
      </c>
      <c r="I9" s="9">
        <f t="shared" si="4"/>
        <v>592226.65333333332</v>
      </c>
      <c r="J9" s="9">
        <f t="shared" si="5"/>
        <v>567502.52</v>
      </c>
      <c r="K9" s="9">
        <v>84017</v>
      </c>
      <c r="L9" s="16">
        <f t="shared" si="6"/>
        <v>1.0138294619879311</v>
      </c>
      <c r="M9" s="9">
        <f t="shared" si="7"/>
        <v>7515.5666666666675</v>
      </c>
      <c r="N9" s="8">
        <v>7.88</v>
      </c>
      <c r="O9" s="8">
        <v>7.93</v>
      </c>
      <c r="P9" s="8">
        <v>10</v>
      </c>
      <c r="Q9" s="8">
        <v>12.38</v>
      </c>
      <c r="R9" s="11">
        <v>0.68</v>
      </c>
      <c r="S9" s="11">
        <v>0.62560000000000004</v>
      </c>
      <c r="T9" s="9">
        <f t="shared" si="8"/>
        <v>16200109.77</v>
      </c>
      <c r="U9" s="9">
        <f t="shared" si="9"/>
        <v>15979127.039999999</v>
      </c>
      <c r="V9" s="8">
        <v>26</v>
      </c>
      <c r="W9" s="8">
        <v>24</v>
      </c>
      <c r="X9" s="8">
        <f t="shared" si="10"/>
        <v>2</v>
      </c>
    </row>
    <row r="10" spans="1:24" ht="14.25" customHeight="1" x14ac:dyDescent="0.25">
      <c r="A10" s="10" t="s">
        <v>33</v>
      </c>
      <c r="B10" s="9">
        <v>101604</v>
      </c>
      <c r="C10" s="9">
        <v>3634362</v>
      </c>
      <c r="D10" s="9">
        <v>2508647</v>
      </c>
      <c r="E10" s="9">
        <f t="shared" si="0"/>
        <v>1125715</v>
      </c>
      <c r="F10" s="9">
        <f t="shared" si="1"/>
        <v>3354795.6923076925</v>
      </c>
      <c r="G10" s="9">
        <f t="shared" si="2"/>
        <v>846148.69230769249</v>
      </c>
      <c r="H10" s="9">
        <f t="shared" si="3"/>
        <v>409106.33333333331</v>
      </c>
      <c r="I10" s="9">
        <f t="shared" si="4"/>
        <v>3546951.9099999997</v>
      </c>
      <c r="J10" s="9">
        <f t="shared" si="5"/>
        <v>817912.20000000007</v>
      </c>
      <c r="K10" s="9">
        <v>111910</v>
      </c>
      <c r="L10" s="16">
        <f t="shared" si="6"/>
        <v>0.69430494881776572</v>
      </c>
      <c r="M10" s="9">
        <f t="shared" si="7"/>
        <v>40910.633333333331</v>
      </c>
      <c r="N10" s="8">
        <v>8.67</v>
      </c>
      <c r="O10" s="8">
        <v>8.0500000000000007</v>
      </c>
      <c r="P10" s="8">
        <v>10</v>
      </c>
      <c r="Q10" s="8">
        <v>8.7899999999999991</v>
      </c>
      <c r="R10" s="11">
        <v>0.65</v>
      </c>
      <c r="S10" s="11">
        <v>0.6653</v>
      </c>
      <c r="T10" s="9">
        <f t="shared" si="8"/>
        <v>20194608.350000001</v>
      </c>
      <c r="U10" s="9">
        <f t="shared" si="9"/>
        <v>29086078.652307693</v>
      </c>
      <c r="V10" s="8">
        <v>26</v>
      </c>
      <c r="W10" s="8">
        <v>24</v>
      </c>
      <c r="X10" s="8">
        <f t="shared" si="10"/>
        <v>2</v>
      </c>
    </row>
    <row r="11" spans="1:24" ht="14.25" customHeight="1" thickBot="1" x14ac:dyDescent="0.3">
      <c r="A11" s="21" t="s">
        <v>34</v>
      </c>
      <c r="B11" s="22">
        <v>14473</v>
      </c>
      <c r="C11" s="22">
        <v>335974</v>
      </c>
      <c r="D11" s="22">
        <v>152936</v>
      </c>
      <c r="E11" s="9">
        <f t="shared" si="0"/>
        <v>183038</v>
      </c>
      <c r="F11" s="9">
        <f t="shared" si="1"/>
        <v>310129.84615384613</v>
      </c>
      <c r="G11" s="9">
        <f t="shared" si="2"/>
        <v>157193.84615384613</v>
      </c>
      <c r="H11" s="9">
        <f t="shared" si="3"/>
        <v>65837</v>
      </c>
      <c r="I11" s="9">
        <f t="shared" si="4"/>
        <v>435182.57</v>
      </c>
      <c r="J11" s="9">
        <f t="shared" si="5"/>
        <v>83075.02</v>
      </c>
      <c r="K11" s="9">
        <v>21499</v>
      </c>
      <c r="L11" s="16">
        <f t="shared" si="6"/>
        <v>0.42822951435010215</v>
      </c>
      <c r="M11" s="9">
        <f t="shared" si="7"/>
        <v>8229.625</v>
      </c>
      <c r="N11" s="18">
        <v>6.61</v>
      </c>
      <c r="O11" s="18">
        <v>5.74</v>
      </c>
      <c r="P11" s="18">
        <v>8</v>
      </c>
      <c r="Q11" s="18">
        <v>8.06</v>
      </c>
      <c r="R11" s="19">
        <v>0.63</v>
      </c>
      <c r="S11" s="19">
        <v>8.09E-2</v>
      </c>
      <c r="T11" s="9">
        <f t="shared" si="8"/>
        <v>877852.64</v>
      </c>
      <c r="U11" s="9">
        <f t="shared" si="9"/>
        <v>2049958.2830769231</v>
      </c>
      <c r="V11" s="18">
        <v>26</v>
      </c>
      <c r="W11" s="18">
        <v>24</v>
      </c>
      <c r="X11" s="8">
        <f t="shared" si="10"/>
        <v>2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462939</v>
      </c>
      <c r="C12" s="7">
        <f t="shared" si="11"/>
        <v>14523751</v>
      </c>
      <c r="D12" s="7">
        <f t="shared" si="11"/>
        <v>11894591</v>
      </c>
      <c r="E12" s="7">
        <f t="shared" si="11"/>
        <v>2629160</v>
      </c>
      <c r="F12" s="7">
        <f t="shared" si="11"/>
        <v>13406539.384615384</v>
      </c>
      <c r="G12" s="7">
        <f t="shared" si="11"/>
        <v>1511948.3846153845</v>
      </c>
      <c r="H12" s="7">
        <f t="shared" si="3"/>
        <v>1030699.6666666666</v>
      </c>
      <c r="I12" s="7">
        <f t="shared" si="4"/>
        <v>8132220.3699999992</v>
      </c>
      <c r="J12" s="7">
        <f t="shared" si="5"/>
        <v>3308856.5024999999</v>
      </c>
      <c r="K12" s="7">
        <f>SUM(K4:K11)</f>
        <v>507388</v>
      </c>
      <c r="L12" s="12">
        <f t="shared" si="6"/>
        <v>0.80372964212346243</v>
      </c>
      <c r="M12" s="7">
        <f t="shared" si="7"/>
        <v>104216.34647792381</v>
      </c>
      <c r="N12" s="6">
        <v>7.89</v>
      </c>
      <c r="O12" s="6">
        <f>AVERAGE(O4:O11)</f>
        <v>7.1475</v>
      </c>
      <c r="P12" s="6">
        <v>9.89</v>
      </c>
      <c r="Q12" s="6">
        <f>AVERAGE(Q4:Q11)</f>
        <v>9.4912500000000009</v>
      </c>
      <c r="R12" s="12">
        <v>0.65659999999999996</v>
      </c>
      <c r="S12" s="12">
        <f>AVERAGE(S4:S11)</f>
        <v>0.60936249999999992</v>
      </c>
      <c r="T12" s="7">
        <f t="shared" si="8"/>
        <v>85016589.172499999</v>
      </c>
      <c r="U12" s="7">
        <f t="shared" si="9"/>
        <v>105777595.74461538</v>
      </c>
      <c r="V12" s="6">
        <v>26</v>
      </c>
      <c r="W12" s="6">
        <f>W11</f>
        <v>24</v>
      </c>
      <c r="X12" s="6">
        <f t="shared" si="10"/>
        <v>2</v>
      </c>
    </row>
    <row r="13" spans="1:24" ht="15.75" customHeight="1" thickTop="1" x14ac:dyDescent="0.25">
      <c r="A13" s="10" t="s">
        <v>36</v>
      </c>
      <c r="B13" s="9">
        <v>113611</v>
      </c>
      <c r="C13" s="9">
        <v>3013766</v>
      </c>
      <c r="D13" s="9">
        <v>2950635</v>
      </c>
      <c r="E13" s="9">
        <f>C13-D13</f>
        <v>63131</v>
      </c>
      <c r="F13" s="9">
        <f>C13*W13/V13</f>
        <v>2781937.846153846</v>
      </c>
      <c r="G13" s="9">
        <f>F13-D13</f>
        <v>-168697.15384615399</v>
      </c>
      <c r="H13" s="9">
        <f t="shared" si="3"/>
        <v>58914</v>
      </c>
      <c r="I13" s="9">
        <f t="shared" si="4"/>
        <v>229175.46000000002</v>
      </c>
      <c r="J13" s="9">
        <f t="shared" si="5"/>
        <v>466941.21</v>
      </c>
      <c r="K13" s="9">
        <v>109440</v>
      </c>
      <c r="L13" s="16">
        <f t="shared" si="6"/>
        <v>1.1206249496835419</v>
      </c>
      <c r="M13" s="9">
        <f t="shared" si="7"/>
        <v>6679.591836734694</v>
      </c>
      <c r="N13" s="8">
        <v>3.89</v>
      </c>
      <c r="O13" s="8">
        <v>4.1100000000000003</v>
      </c>
      <c r="P13" s="8">
        <v>8.82</v>
      </c>
      <c r="Q13" s="8">
        <v>9.7200000000000006</v>
      </c>
      <c r="R13" s="11">
        <v>0.74</v>
      </c>
      <c r="S13" s="11">
        <v>0.7609999999999999</v>
      </c>
      <c r="T13" s="9">
        <f t="shared" si="8"/>
        <v>12127109.850000001</v>
      </c>
      <c r="U13" s="9">
        <f t="shared" si="9"/>
        <v>10821738.221538462</v>
      </c>
      <c r="V13" s="8">
        <v>26</v>
      </c>
      <c r="W13" s="8">
        <v>24</v>
      </c>
      <c r="X13" s="8">
        <f t="shared" si="10"/>
        <v>2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14523751</v>
      </c>
      <c r="B18" s="13">
        <f>D12</f>
        <v>11894591</v>
      </c>
      <c r="C18" s="13">
        <f>QUOTIENT(B12,10000)*10000</f>
        <v>460000</v>
      </c>
      <c r="D18" s="13">
        <f t="shared" ref="D18:D23" si="12">C18*$X$12</f>
        <v>920000</v>
      </c>
      <c r="E18" s="13">
        <f t="shared" ref="E18:E23" si="13">$D$12+D18</f>
        <v>12814591</v>
      </c>
      <c r="F18" s="13">
        <f t="shared" ref="F18:F23" si="14">$C$12-E18</f>
        <v>1709160</v>
      </c>
      <c r="M18" s="1"/>
    </row>
    <row r="19" spans="1:13" x14ac:dyDescent="0.25">
      <c r="A19" s="15" t="s">
        <v>44</v>
      </c>
      <c r="B19" s="14"/>
      <c r="C19" s="13">
        <f>C18+35000</f>
        <v>495000</v>
      </c>
      <c r="D19" s="13">
        <f t="shared" si="12"/>
        <v>990000</v>
      </c>
      <c r="E19" s="13">
        <f t="shared" si="13"/>
        <v>12884591</v>
      </c>
      <c r="F19" s="13">
        <f t="shared" si="14"/>
        <v>1639160</v>
      </c>
      <c r="M19" s="1"/>
    </row>
    <row r="20" spans="1:13" x14ac:dyDescent="0.25">
      <c r="A20" s="15" t="s">
        <v>44</v>
      </c>
      <c r="B20" s="14"/>
      <c r="C20" s="13">
        <f>C19+35000</f>
        <v>530000</v>
      </c>
      <c r="D20" s="13">
        <f t="shared" si="12"/>
        <v>1060000</v>
      </c>
      <c r="E20" s="13">
        <f t="shared" si="13"/>
        <v>12954591</v>
      </c>
      <c r="F20" s="13">
        <f t="shared" si="14"/>
        <v>1569160</v>
      </c>
    </row>
    <row r="21" spans="1:13" x14ac:dyDescent="0.25">
      <c r="A21" s="15" t="s">
        <v>44</v>
      </c>
      <c r="B21" s="14"/>
      <c r="C21" s="13">
        <f>C20+35000</f>
        <v>565000</v>
      </c>
      <c r="D21" s="13">
        <f t="shared" si="12"/>
        <v>1130000</v>
      </c>
      <c r="E21" s="13">
        <f t="shared" si="13"/>
        <v>13024591</v>
      </c>
      <c r="F21" s="13">
        <f t="shared" si="14"/>
        <v>1499160</v>
      </c>
    </row>
    <row r="22" spans="1:13" x14ac:dyDescent="0.25">
      <c r="A22" s="15" t="s">
        <v>44</v>
      </c>
      <c r="B22" s="14"/>
      <c r="C22" s="13">
        <f>C21+35000</f>
        <v>600000</v>
      </c>
      <c r="D22" s="13">
        <f t="shared" si="12"/>
        <v>1200000</v>
      </c>
      <c r="E22" s="13">
        <f t="shared" si="13"/>
        <v>13094591</v>
      </c>
      <c r="F22" s="13">
        <f t="shared" si="14"/>
        <v>1429160</v>
      </c>
    </row>
    <row r="23" spans="1:13" x14ac:dyDescent="0.25">
      <c r="A23" s="15" t="s">
        <v>44</v>
      </c>
      <c r="B23" s="14"/>
      <c r="C23" s="13">
        <f>C22+35000</f>
        <v>635000</v>
      </c>
      <c r="D23" s="13">
        <f t="shared" si="12"/>
        <v>1270000</v>
      </c>
      <c r="E23" s="13">
        <f t="shared" si="13"/>
        <v>13164591</v>
      </c>
      <c r="F23" s="13">
        <f t="shared" si="14"/>
        <v>1359160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2025-10-29T05:30:32Z</dcterms:modified>
</cp:coreProperties>
</file>