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0. Oct\"/>
    </mc:Choice>
  </mc:AlternateContent>
  <xr:revisionPtr revIDLastSave="0" documentId="13_ncr:1_{1D8409BA-5210-47DF-9387-5A8D0AD6AA44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1" l="1"/>
  <c r="C18" i="1"/>
  <c r="D18" i="1" s="1"/>
  <c r="X13" i="1"/>
  <c r="T13" i="1"/>
  <c r="J13" i="1"/>
  <c r="F13" i="1"/>
  <c r="G13" i="1" s="1"/>
  <c r="E13" i="1"/>
  <c r="H13" i="1" s="1"/>
  <c r="W12" i="1"/>
  <c r="X12" i="1" s="1"/>
  <c r="S12" i="1"/>
  <c r="Q12" i="1"/>
  <c r="O12" i="1"/>
  <c r="K12" i="1"/>
  <c r="D12" i="1"/>
  <c r="B18" i="1" s="1"/>
  <c r="C12" i="1"/>
  <c r="B12" i="1"/>
  <c r="J12" i="1" s="1"/>
  <c r="X11" i="1"/>
  <c r="J11" i="1"/>
  <c r="H11" i="1"/>
  <c r="M11" i="1" s="1"/>
  <c r="F11" i="1"/>
  <c r="G11" i="1" s="1"/>
  <c r="E11" i="1"/>
  <c r="X10" i="1"/>
  <c r="H10" i="1" s="1"/>
  <c r="T10" i="1"/>
  <c r="J10" i="1"/>
  <c r="F10" i="1"/>
  <c r="U10" i="1" s="1"/>
  <c r="L10" i="1" s="1"/>
  <c r="E10" i="1"/>
  <c r="X9" i="1"/>
  <c r="T9" i="1"/>
  <c r="J9" i="1"/>
  <c r="F9" i="1"/>
  <c r="G9" i="1" s="1"/>
  <c r="E9" i="1"/>
  <c r="H9" i="1" s="1"/>
  <c r="X8" i="1"/>
  <c r="T8" i="1"/>
  <c r="L8" i="1" s="1"/>
  <c r="J8" i="1"/>
  <c r="F8" i="1"/>
  <c r="U8" i="1" s="1"/>
  <c r="E8" i="1"/>
  <c r="H8" i="1" s="1"/>
  <c r="X7" i="1"/>
  <c r="T7" i="1"/>
  <c r="J7" i="1"/>
  <c r="H7" i="1"/>
  <c r="M7" i="1" s="1"/>
  <c r="F7" i="1"/>
  <c r="G7" i="1" s="1"/>
  <c r="E7" i="1"/>
  <c r="X6" i="1"/>
  <c r="T6" i="1"/>
  <c r="J6" i="1"/>
  <c r="F6" i="1"/>
  <c r="U6" i="1" s="1"/>
  <c r="E6" i="1"/>
  <c r="H6" i="1" s="1"/>
  <c r="X5" i="1"/>
  <c r="T5" i="1"/>
  <c r="J5" i="1"/>
  <c r="H5" i="1"/>
  <c r="I5" i="1" s="1"/>
  <c r="F5" i="1"/>
  <c r="E5" i="1"/>
  <c r="X4" i="1"/>
  <c r="T4" i="1"/>
  <c r="L4" i="1" s="1"/>
  <c r="J4" i="1"/>
  <c r="F4" i="1"/>
  <c r="U4" i="1" s="1"/>
  <c r="E4" i="1"/>
  <c r="E12" i="1" s="1"/>
  <c r="H12" i="1" s="1"/>
  <c r="L6" i="1" l="1"/>
  <c r="G10" i="1"/>
  <c r="G4" i="1"/>
  <c r="G6" i="1"/>
  <c r="G8" i="1"/>
  <c r="U11" i="1"/>
  <c r="F12" i="1"/>
  <c r="U12" i="1" s="1"/>
  <c r="T12" i="1"/>
  <c r="L12" i="1" s="1"/>
  <c r="I6" i="1"/>
  <c r="M6" i="1"/>
  <c r="M8" i="1"/>
  <c r="I8" i="1"/>
  <c r="I9" i="1"/>
  <c r="M9" i="1"/>
  <c r="L11" i="1"/>
  <c r="M12" i="1"/>
  <c r="I12" i="1"/>
  <c r="I10" i="1"/>
  <c r="M10" i="1"/>
  <c r="I13" i="1"/>
  <c r="M13" i="1"/>
  <c r="U5" i="1"/>
  <c r="L5" i="1" s="1"/>
  <c r="U9" i="1"/>
  <c r="L9" i="1" s="1"/>
  <c r="U13" i="1"/>
  <c r="L13" i="1" s="1"/>
  <c r="C19" i="1"/>
  <c r="G5" i="1"/>
  <c r="G12" i="1" s="1"/>
  <c r="I7" i="1"/>
  <c r="I11" i="1"/>
  <c r="U7" i="1"/>
  <c r="L7" i="1" s="1"/>
  <c r="A18" i="1"/>
  <c r="E18" i="1"/>
  <c r="F18" i="1" s="1"/>
  <c r="M5" i="1"/>
  <c r="H4" i="1"/>
  <c r="M4" i="1" l="1"/>
  <c r="I4" i="1"/>
  <c r="D19" i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<sst xmlns="http://schemas.openxmlformats.org/spreadsheetml/2006/main" count="49" uniqueCount="45">
  <si>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</si>
  <si>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</si>
  <si>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02-Oct-25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</si>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</sst>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A5" workbookViewId="0">
      <selection sqref="A1:XFD2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99091</v>
      </c>
      <c r="C4" s="9">
        <v>2343382</v>
      </c>
      <c r="D4" s="9">
        <v>189847</v>
      </c>
      <c r="E4" s="9">
        <f t="shared" ref="E4:E11" si="0">C4-D4</f>
        <v>2153535</v>
      </c>
      <c r="F4" s="9">
        <f t="shared" ref="F4:F11" si="1">C4*W4/V4</f>
        <v>180260.15384615384</v>
      </c>
      <c r="G4" s="9">
        <f t="shared" ref="G4:G11" si="2">F4-D4</f>
        <v>-9586.8461538461561</v>
      </c>
      <c r="H4" s="9">
        <f t="shared" ref="H4:H13" si="3">(E4+B4)/(X4+1)</f>
        <v>90105.04</v>
      </c>
      <c r="I4" s="9">
        <f t="shared" ref="I4:I13" si="4">H4*N4</f>
        <v>640646.83439999993</v>
      </c>
      <c r="J4" s="9">
        <f t="shared" ref="J4:J13" si="5">B4*O4</f>
        <v>662918.79</v>
      </c>
      <c r="K4" s="9">
        <v>93080</v>
      </c>
      <c r="L4" s="16">
        <f t="shared" ref="L4:L13" si="6">T4/U4</f>
        <v>0.99097002566167436</v>
      </c>
      <c r="M4" s="9">
        <f t="shared" ref="M4:M13" si="7">H4/P4</f>
        <v>9010.503999999999</v>
      </c>
      <c r="N4" s="8">
        <v>7.11</v>
      </c>
      <c r="O4" s="8">
        <v>6.69</v>
      </c>
      <c r="P4" s="8">
        <v>10</v>
      </c>
      <c r="Q4" s="8">
        <v>10.29</v>
      </c>
      <c r="R4" s="11">
        <v>0.68</v>
      </c>
      <c r="S4" s="11">
        <v>0.72860000000000003</v>
      </c>
      <c r="T4" s="9">
        <f t="shared" ref="T4:T13" si="8">O4*D4</f>
        <v>1270076.4300000002</v>
      </c>
      <c r="U4" s="9">
        <f t="shared" ref="U4:U13" si="9">N4*F4</f>
        <v>1281649.6938461538</v>
      </c>
      <c r="V4" s="8">
        <v>26</v>
      </c>
      <c r="W4" s="8">
        <v>2</v>
      </c>
      <c r="X4" s="8">
        <f t="shared" ref="X4:X13" si="10">V4-W4</f>
        <v>24</v>
      </c>
    </row>
    <row r="5" spans="1:24" x14ac:dyDescent="0.25">
      <c r="A5" s="10" t="s">
        <v>28</v>
      </c>
      <c r="B5" s="9">
        <v>11780</v>
      </c>
      <c r="C5" s="9">
        <v>285887</v>
      </c>
      <c r="D5" s="9">
        <v>22170</v>
      </c>
      <c r="E5" s="9">
        <f t="shared" si="0"/>
        <v>263717</v>
      </c>
      <c r="F5" s="9">
        <f t="shared" si="1"/>
        <v>21991.307692307691</v>
      </c>
      <c r="G5" s="9">
        <f t="shared" si="2"/>
        <v>-178.69230769230853</v>
      </c>
      <c r="H5" s="9">
        <f t="shared" si="3"/>
        <v>11019.88</v>
      </c>
      <c r="I5" s="9">
        <f t="shared" si="4"/>
        <v>65678.484799999991</v>
      </c>
      <c r="J5" s="9">
        <f t="shared" si="5"/>
        <v>67146</v>
      </c>
      <c r="K5" s="9">
        <v>9334</v>
      </c>
      <c r="L5" s="16">
        <f t="shared" si="6"/>
        <v>0.96414695504487002</v>
      </c>
      <c r="M5" s="17">
        <f t="shared" si="7"/>
        <v>1101.9879999999998</v>
      </c>
      <c r="N5" s="8">
        <v>5.96</v>
      </c>
      <c r="O5" s="8">
        <v>5.7</v>
      </c>
      <c r="P5" s="8">
        <v>10</v>
      </c>
      <c r="Q5" s="8">
        <v>8.39</v>
      </c>
      <c r="R5" s="11">
        <v>0.68</v>
      </c>
      <c r="S5" s="11">
        <v>0.78859999999999997</v>
      </c>
      <c r="T5" s="9">
        <f t="shared" si="8"/>
        <v>126369</v>
      </c>
      <c r="U5" s="9">
        <f t="shared" si="9"/>
        <v>131068.19384615384</v>
      </c>
      <c r="V5" s="8">
        <v>26</v>
      </c>
      <c r="W5" s="8">
        <v>2</v>
      </c>
      <c r="X5" s="8">
        <f t="shared" si="10"/>
        <v>24</v>
      </c>
    </row>
    <row r="6" spans="1:24" x14ac:dyDescent="0.25">
      <c r="A6" s="10" t="s">
        <v>29</v>
      </c>
      <c r="B6" s="9">
        <v>45696</v>
      </c>
      <c r="C6" s="9">
        <v>1652169</v>
      </c>
      <c r="D6" s="9">
        <v>91201</v>
      </c>
      <c r="E6" s="9">
        <f t="shared" si="0"/>
        <v>1560968</v>
      </c>
      <c r="F6" s="9">
        <f t="shared" si="1"/>
        <v>127089.92307692308</v>
      </c>
      <c r="G6" s="9">
        <f t="shared" si="2"/>
        <v>35888.923076923078</v>
      </c>
      <c r="H6" s="9">
        <f t="shared" si="3"/>
        <v>64266.559999999998</v>
      </c>
      <c r="I6" s="9">
        <f t="shared" si="4"/>
        <v>390098.01919999998</v>
      </c>
      <c r="J6" s="9">
        <f t="shared" si="5"/>
        <v>263665.91999999998</v>
      </c>
      <c r="K6" s="9">
        <v>39870</v>
      </c>
      <c r="L6" s="16">
        <f t="shared" si="6"/>
        <v>0.68214328066807262</v>
      </c>
      <c r="M6" s="9">
        <f t="shared" si="7"/>
        <v>6120.6247619047617</v>
      </c>
      <c r="N6" s="8">
        <v>6.07</v>
      </c>
      <c r="O6" s="8">
        <v>5.77</v>
      </c>
      <c r="P6" s="8">
        <v>10.5</v>
      </c>
      <c r="Q6" s="8">
        <v>8.1</v>
      </c>
      <c r="R6" s="11">
        <v>0.72</v>
      </c>
      <c r="S6" s="11">
        <v>0.75930000000000009</v>
      </c>
      <c r="T6" s="9">
        <f t="shared" si="8"/>
        <v>526229.77</v>
      </c>
      <c r="U6" s="9">
        <f t="shared" si="9"/>
        <v>771435.83307692315</v>
      </c>
      <c r="V6" s="8">
        <v>26</v>
      </c>
      <c r="W6" s="8">
        <v>2</v>
      </c>
      <c r="X6" s="8">
        <f t="shared" si="10"/>
        <v>24</v>
      </c>
    </row>
    <row r="7" spans="1:24" x14ac:dyDescent="0.25">
      <c r="A7" s="10" t="s">
        <v>30</v>
      </c>
      <c r="B7" s="9">
        <v>62711</v>
      </c>
      <c r="C7" s="9">
        <v>1755763</v>
      </c>
      <c r="D7" s="9">
        <v>128111</v>
      </c>
      <c r="E7" s="9">
        <f t="shared" si="0"/>
        <v>1627652</v>
      </c>
      <c r="F7" s="9">
        <f t="shared" si="1"/>
        <v>135058.69230769231</v>
      </c>
      <c r="G7" s="9">
        <f t="shared" si="2"/>
        <v>6947.6923076923122</v>
      </c>
      <c r="H7" s="9">
        <f t="shared" si="3"/>
        <v>67614.52</v>
      </c>
      <c r="I7" s="9">
        <f t="shared" si="4"/>
        <v>697781.84640000004</v>
      </c>
      <c r="J7" s="9">
        <f t="shared" si="5"/>
        <v>552483.91</v>
      </c>
      <c r="K7" s="9">
        <v>72171</v>
      </c>
      <c r="L7" s="16">
        <f t="shared" si="6"/>
        <v>0.80976703299650277</v>
      </c>
      <c r="M7" s="9">
        <f t="shared" si="7"/>
        <v>7512.724444444445</v>
      </c>
      <c r="N7" s="8">
        <v>10.32</v>
      </c>
      <c r="O7" s="8">
        <v>8.81</v>
      </c>
      <c r="P7" s="8">
        <v>9</v>
      </c>
      <c r="Q7" s="8">
        <v>8.85</v>
      </c>
      <c r="R7" s="11">
        <v>0.6</v>
      </c>
      <c r="S7" s="11">
        <v>0.61960000000000004</v>
      </c>
      <c r="T7" s="9">
        <f t="shared" si="8"/>
        <v>1128657.9100000001</v>
      </c>
      <c r="U7" s="9">
        <f t="shared" si="9"/>
        <v>1393805.7046153848</v>
      </c>
      <c r="V7" s="8">
        <v>26</v>
      </c>
      <c r="W7" s="8">
        <v>2</v>
      </c>
      <c r="X7" s="8">
        <f t="shared" si="10"/>
        <v>24</v>
      </c>
    </row>
    <row r="8" spans="1:24" x14ac:dyDescent="0.25">
      <c r="A8" s="10" t="s">
        <v>31</v>
      </c>
      <c r="B8" s="9">
        <v>82124</v>
      </c>
      <c r="C8" s="9">
        <v>2319422</v>
      </c>
      <c r="D8" s="9">
        <v>169737</v>
      </c>
      <c r="E8" s="9">
        <f t="shared" si="0"/>
        <v>2149685</v>
      </c>
      <c r="F8" s="9">
        <f t="shared" si="1"/>
        <v>178417.07692307694</v>
      </c>
      <c r="G8" s="9">
        <f t="shared" si="2"/>
        <v>8680.0769230769365</v>
      </c>
      <c r="H8" s="9">
        <f t="shared" si="3"/>
        <v>89272.36</v>
      </c>
      <c r="I8" s="9">
        <f t="shared" si="4"/>
        <v>669542.69999999995</v>
      </c>
      <c r="J8" s="9">
        <f t="shared" si="5"/>
        <v>581437.92000000004</v>
      </c>
      <c r="K8" s="9">
        <v>90642</v>
      </c>
      <c r="L8" s="16">
        <f t="shared" si="6"/>
        <v>0.89807394428439491</v>
      </c>
      <c r="M8" s="9">
        <f t="shared" si="7"/>
        <v>8927.2360000000008</v>
      </c>
      <c r="N8" s="8">
        <v>7.5</v>
      </c>
      <c r="O8" s="8">
        <v>7.08</v>
      </c>
      <c r="P8" s="8">
        <v>10</v>
      </c>
      <c r="Q8" s="8">
        <v>9.89</v>
      </c>
      <c r="R8" s="11">
        <v>0.64</v>
      </c>
      <c r="S8" s="11">
        <v>0.68769999999999998</v>
      </c>
      <c r="T8" s="9">
        <f t="shared" si="8"/>
        <v>1201737.96</v>
      </c>
      <c r="U8" s="9">
        <f t="shared" si="9"/>
        <v>1338128.076923077</v>
      </c>
      <c r="V8" s="8">
        <v>26</v>
      </c>
      <c r="W8" s="8">
        <v>2</v>
      </c>
      <c r="X8" s="8">
        <f t="shared" si="10"/>
        <v>24</v>
      </c>
    </row>
    <row r="9" spans="1:24" x14ac:dyDescent="0.25">
      <c r="A9" s="10" t="s">
        <v>32</v>
      </c>
      <c r="B9" s="9">
        <v>89581</v>
      </c>
      <c r="C9" s="9">
        <v>2196792</v>
      </c>
      <c r="D9" s="9">
        <v>182761</v>
      </c>
      <c r="E9" s="9">
        <f t="shared" si="0"/>
        <v>2014031</v>
      </c>
      <c r="F9" s="9">
        <f t="shared" si="1"/>
        <v>168984</v>
      </c>
      <c r="G9" s="9">
        <f t="shared" si="2"/>
        <v>-13777</v>
      </c>
      <c r="H9" s="9">
        <f t="shared" si="3"/>
        <v>84144.48</v>
      </c>
      <c r="I9" s="9">
        <f t="shared" si="4"/>
        <v>663058.5024</v>
      </c>
      <c r="J9" s="9">
        <f t="shared" si="5"/>
        <v>662899.4</v>
      </c>
      <c r="K9" s="9">
        <v>91383</v>
      </c>
      <c r="L9" s="16">
        <f t="shared" si="6"/>
        <v>1.0156485244390423</v>
      </c>
      <c r="M9" s="9">
        <f t="shared" si="7"/>
        <v>8414.4480000000003</v>
      </c>
      <c r="N9" s="8">
        <v>7.88</v>
      </c>
      <c r="O9" s="8">
        <v>7.4</v>
      </c>
      <c r="P9" s="8">
        <v>10</v>
      </c>
      <c r="Q9" s="8">
        <v>12.08</v>
      </c>
      <c r="R9" s="11">
        <v>0.68</v>
      </c>
      <c r="S9" s="11">
        <v>0.67569999999999997</v>
      </c>
      <c r="T9" s="9">
        <f t="shared" si="8"/>
        <v>1352431.4000000001</v>
      </c>
      <c r="U9" s="9">
        <f t="shared" si="9"/>
        <v>1331593.92</v>
      </c>
      <c r="V9" s="8">
        <v>26</v>
      </c>
      <c r="W9" s="8">
        <v>2</v>
      </c>
      <c r="X9" s="8">
        <f t="shared" si="10"/>
        <v>24</v>
      </c>
    </row>
    <row r="10" spans="1:24" ht="14.25" customHeight="1" x14ac:dyDescent="0.25">
      <c r="A10" s="10" t="s">
        <v>33</v>
      </c>
      <c r="B10" s="9">
        <v>116620</v>
      </c>
      <c r="C10" s="9">
        <v>3634362</v>
      </c>
      <c r="D10" s="9">
        <v>232097</v>
      </c>
      <c r="E10" s="9">
        <f t="shared" si="0"/>
        <v>3402265</v>
      </c>
      <c r="F10" s="9">
        <f t="shared" si="1"/>
        <v>279566.30769230769</v>
      </c>
      <c r="G10" s="9">
        <f t="shared" si="2"/>
        <v>47469.307692307688</v>
      </c>
      <c r="H10" s="9">
        <f t="shared" si="3"/>
        <v>140755.4</v>
      </c>
      <c r="I10" s="9">
        <f t="shared" si="4"/>
        <v>1220349.318</v>
      </c>
      <c r="J10" s="9">
        <f t="shared" si="5"/>
        <v>872317.60000000009</v>
      </c>
      <c r="K10" s="9">
        <v>123376</v>
      </c>
      <c r="L10" s="16">
        <f t="shared" si="6"/>
        <v>0.71625422488318502</v>
      </c>
      <c r="M10" s="9">
        <f t="shared" si="7"/>
        <v>14075.539999999999</v>
      </c>
      <c r="N10" s="8">
        <v>8.67</v>
      </c>
      <c r="O10" s="8">
        <v>7.48</v>
      </c>
      <c r="P10" s="8">
        <v>10</v>
      </c>
      <c r="Q10" s="8">
        <v>8.5399999999999991</v>
      </c>
      <c r="R10" s="11">
        <v>0.65</v>
      </c>
      <c r="S10" s="11">
        <v>0.69530000000000003</v>
      </c>
      <c r="T10" s="9">
        <f t="shared" si="8"/>
        <v>1736085.56</v>
      </c>
      <c r="U10" s="9">
        <f t="shared" si="9"/>
        <v>2423839.8876923076</v>
      </c>
      <c r="V10" s="8">
        <v>26</v>
      </c>
      <c r="W10" s="8">
        <v>2</v>
      </c>
      <c r="X10" s="8">
        <f t="shared" si="10"/>
        <v>24</v>
      </c>
    </row>
    <row r="11" spans="1:24" ht="14.25" customHeight="1" thickBot="1" x14ac:dyDescent="0.3">
      <c r="A11" s="21" t="s">
        <v>34</v>
      </c>
      <c r="B11" s="22">
        <v>18162</v>
      </c>
      <c r="C11" s="22">
        <v>335974</v>
      </c>
      <c r="D11" s="22">
        <v>38291</v>
      </c>
      <c r="E11" s="9">
        <f t="shared" si="0"/>
        <v>297683</v>
      </c>
      <c r="F11" s="9">
        <f t="shared" si="1"/>
        <v>25844.153846153848</v>
      </c>
      <c r="G11" s="9">
        <f t="shared" si="2"/>
        <v>-12446.846153846152</v>
      </c>
      <c r="H11" s="9">
        <f t="shared" si="3"/>
        <v>12633.8</v>
      </c>
      <c r="I11" s="9">
        <f t="shared" si="4"/>
        <v>83509.418000000005</v>
      </c>
      <c r="J11" s="9">
        <f t="shared" si="5"/>
        <v>19796.580000000002</v>
      </c>
      <c r="K11" s="9">
        <v>28865</v>
      </c>
      <c r="L11" s="16">
        <f t="shared" si="6"/>
        <v>0.24432023038451564</v>
      </c>
      <c r="M11" s="9">
        <f t="shared" si="7"/>
        <v>1579.2249999999999</v>
      </c>
      <c r="N11" s="18">
        <v>6.61</v>
      </c>
      <c r="O11" s="18">
        <v>1.0900000000000001</v>
      </c>
      <c r="P11" s="18">
        <v>8</v>
      </c>
      <c r="Q11" s="18">
        <v>8</v>
      </c>
      <c r="R11" s="19">
        <v>0.63</v>
      </c>
      <c r="S11" s="19">
        <v>0.14630000000000001</v>
      </c>
      <c r="T11" s="9">
        <f>O11*D11</f>
        <v>41737.19</v>
      </c>
      <c r="U11" s="9">
        <f>N11*F11</f>
        <v>170829.85692307694</v>
      </c>
      <c r="V11" s="18">
        <v>26</v>
      </c>
      <c r="W11" s="18">
        <v>2</v>
      </c>
      <c r="X11" s="8">
        <f t="shared" si="10"/>
        <v>24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525765</v>
      </c>
      <c r="C12" s="7">
        <f t="shared" si="11"/>
        <v>14523751</v>
      </c>
      <c r="D12" s="7">
        <f t="shared" si="11"/>
        <v>1054215</v>
      </c>
      <c r="E12" s="7">
        <f t="shared" si="11"/>
        <v>13469536</v>
      </c>
      <c r="F12" s="7">
        <f t="shared" si="11"/>
        <v>1117211.6153846153</v>
      </c>
      <c r="G12" s="7">
        <f t="shared" si="11"/>
        <v>62996.61538461539</v>
      </c>
      <c r="H12" s="7">
        <f t="shared" si="3"/>
        <v>559812.04</v>
      </c>
      <c r="I12" s="7">
        <f t="shared" si="4"/>
        <v>4416916.9956</v>
      </c>
      <c r="J12" s="7">
        <f t="shared" si="5"/>
        <v>3287345.6624999996</v>
      </c>
      <c r="K12" s="7">
        <f>SUM(K4:K11)</f>
        <v>548721</v>
      </c>
      <c r="L12" s="12">
        <f t="shared" si="6"/>
        <v>0.74777414719247381</v>
      </c>
      <c r="M12" s="7">
        <f t="shared" si="7"/>
        <v>56603.846309403438</v>
      </c>
      <c r="N12" s="6">
        <v>7.89</v>
      </c>
      <c r="O12" s="6">
        <f>AVERAGE(O4:O11)</f>
        <v>6.2524999999999995</v>
      </c>
      <c r="P12" s="6">
        <v>9.89</v>
      </c>
      <c r="Q12" s="6">
        <f>AVERAGE(Q4:Q11)</f>
        <v>9.2675000000000001</v>
      </c>
      <c r="R12" s="12">
        <v>0.65659999999999996</v>
      </c>
      <c r="S12" s="12">
        <f>AVERAGE(S4:S11)</f>
        <v>0.63763750000000008</v>
      </c>
      <c r="T12" s="7">
        <f t="shared" si="8"/>
        <v>6591479.2874999996</v>
      </c>
      <c r="U12" s="7">
        <f t="shared" si="9"/>
        <v>8814799.6453846134</v>
      </c>
      <c r="V12" s="6">
        <v>26</v>
      </c>
      <c r="W12" s="6">
        <f>W11</f>
        <v>2</v>
      </c>
      <c r="X12" s="6">
        <f t="shared" si="10"/>
        <v>24</v>
      </c>
    </row>
    <row r="13" spans="1:24" ht="15.75" customHeight="1" thickTop="1" x14ac:dyDescent="0.25">
      <c r="A13" s="10" t="s">
        <v>36</v>
      </c>
      <c r="B13" s="9">
        <v>119173</v>
      </c>
      <c r="C13" s="9">
        <v>3013766</v>
      </c>
      <c r="D13" s="9">
        <v>248133</v>
      </c>
      <c r="E13" s="9">
        <f>C13-D13</f>
        <v>2765633</v>
      </c>
      <c r="F13" s="9">
        <f>C13*W13/V13</f>
        <v>231828.15384615384</v>
      </c>
      <c r="G13" s="9">
        <f>F13-D13</f>
        <v>-16304.846153846156</v>
      </c>
      <c r="H13" s="9">
        <f t="shared" si="3"/>
        <v>115392.24</v>
      </c>
      <c r="I13" s="9">
        <f t="shared" si="4"/>
        <v>448875.81360000005</v>
      </c>
      <c r="J13" s="9">
        <f t="shared" si="5"/>
        <v>495759.68</v>
      </c>
      <c r="K13" s="9">
        <v>111350</v>
      </c>
      <c r="L13" s="16">
        <f t="shared" si="6"/>
        <v>1.1446219735149945</v>
      </c>
      <c r="M13" s="9">
        <f t="shared" si="7"/>
        <v>13083.020408163266</v>
      </c>
      <c r="N13" s="8">
        <v>3.89</v>
      </c>
      <c r="O13" s="8">
        <v>4.16</v>
      </c>
      <c r="P13" s="8">
        <v>8.82</v>
      </c>
      <c r="Q13" s="8">
        <v>10.23</v>
      </c>
      <c r="R13" s="11">
        <v>0.74</v>
      </c>
      <c r="S13" s="11">
        <v>0.76439999999999997</v>
      </c>
      <c r="T13" s="9">
        <f t="shared" si="8"/>
        <v>1032233.28</v>
      </c>
      <c r="U13" s="9">
        <f t="shared" si="9"/>
        <v>901811.51846153848</v>
      </c>
      <c r="V13" s="8">
        <v>26</v>
      </c>
      <c r="W13" s="8">
        <v>2</v>
      </c>
      <c r="X13" s="8">
        <f t="shared" si="10"/>
        <v>24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14523751</v>
      </c>
      <c r="B18" s="13">
        <f>D12</f>
        <v>1054215</v>
      </c>
      <c r="C18" s="13">
        <f>QUOTIENT(B12,10000)*10000</f>
        <v>520000</v>
      </c>
      <c r="D18" s="13">
        <f t="shared" ref="D18:D23" si="12">C18*$X$12</f>
        <v>12480000</v>
      </c>
      <c r="E18" s="13">
        <f t="shared" ref="E18:E23" si="13">$D$12+D18</f>
        <v>13534215</v>
      </c>
      <c r="F18" s="13">
        <f t="shared" ref="F18:F23" si="14">$C$12-E18</f>
        <v>989536</v>
      </c>
      <c r="M18" s="1"/>
    </row>
    <row r="19" spans="1:13" x14ac:dyDescent="0.25">
      <c r="A19" s="15" t="s">
        <v>44</v>
      </c>
      <c r="B19" s="14"/>
      <c r="C19" s="13">
        <f>C18+35000</f>
        <v>555000</v>
      </c>
      <c r="D19" s="13">
        <f t="shared" si="12"/>
        <v>13320000</v>
      </c>
      <c r="E19" s="13">
        <f t="shared" si="13"/>
        <v>14374215</v>
      </c>
      <c r="F19" s="13">
        <f t="shared" si="14"/>
        <v>149536</v>
      </c>
      <c r="M19" s="1"/>
    </row>
    <row r="20" spans="1:13" x14ac:dyDescent="0.25">
      <c r="A20" s="15" t="s">
        <v>44</v>
      </c>
      <c r="B20" s="14"/>
      <c r="C20" s="13">
        <f>C19+35000</f>
        <v>590000</v>
      </c>
      <c r="D20" s="13">
        <f t="shared" si="12"/>
        <v>14160000</v>
      </c>
      <c r="E20" s="13">
        <f t="shared" si="13"/>
        <v>15214215</v>
      </c>
      <c r="F20" s="13">
        <f t="shared" si="14"/>
        <v>-690464</v>
      </c>
    </row>
    <row r="21" spans="1:13" x14ac:dyDescent="0.25">
      <c r="A21" s="15" t="s">
        <v>44</v>
      </c>
      <c r="B21" s="14"/>
      <c r="C21" s="13">
        <f>C20+35000</f>
        <v>625000</v>
      </c>
      <c r="D21" s="13">
        <f t="shared" si="12"/>
        <v>15000000</v>
      </c>
      <c r="E21" s="13">
        <f t="shared" si="13"/>
        <v>16054215</v>
      </c>
      <c r="F21" s="13">
        <f t="shared" si="14"/>
        <v>-1530464</v>
      </c>
    </row>
    <row r="22" spans="1:13" x14ac:dyDescent="0.25">
      <c r="A22" s="15" t="s">
        <v>44</v>
      </c>
      <c r="B22" s="14"/>
      <c r="C22" s="13">
        <f>C21+35000</f>
        <v>660000</v>
      </c>
      <c r="D22" s="13">
        <f t="shared" si="12"/>
        <v>15840000</v>
      </c>
      <c r="E22" s="13">
        <f t="shared" si="13"/>
        <v>16894215</v>
      </c>
      <c r="F22" s="13">
        <f t="shared" si="14"/>
        <v>-2370464</v>
      </c>
    </row>
    <row r="23" spans="1:13" x14ac:dyDescent="0.25">
      <c r="A23" s="15" t="s">
        <v>44</v>
      </c>
      <c r="B23" s="14"/>
      <c r="C23" s="13">
        <f>C22+35000</f>
        <v>695000</v>
      </c>
      <c r="D23" s="13">
        <f t="shared" si="12"/>
        <v>16680000</v>
      </c>
      <c r="E23" s="13">
        <f t="shared" si="13"/>
        <v>17734215</v>
      </c>
      <c r="F23" s="13">
        <f t="shared" si="14"/>
        <v>-3210464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2025-10-04T09:15:24Z</dcterms:modified>
</cp:coreProperties>
</file>