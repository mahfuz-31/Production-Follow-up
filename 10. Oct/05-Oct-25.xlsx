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0. Oct\"/>
    </mc:Choice>
  </mc:AlternateContent>
  <xr:revisionPtr revIDLastSave="0" documentId="13_ncr:1_{A7C29422-0994-4D0E-A7B7-A1A0F31C1E18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X13" i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X11" i="1"/>
  <c r="T11" i="1"/>
  <c r="J11" i="1"/>
  <c r="H11" i="1"/>
  <c r="I11" i="1" s="1"/>
  <c r="F11" i="1"/>
  <c r="G11" i="1" s="1"/>
  <c r="E11" i="1"/>
  <c r="X10" i="1"/>
  <c r="H10" i="1" s="1"/>
  <c r="T10" i="1"/>
  <c r="J10" i="1"/>
  <c r="G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G8" i="1" s="1"/>
  <c r="E8" i="1"/>
  <c r="H8" i="1" s="1"/>
  <c r="X7" i="1"/>
  <c r="T7" i="1"/>
  <c r="J7" i="1"/>
  <c r="H7" i="1"/>
  <c r="I7" i="1" s="1"/>
  <c r="F7" i="1"/>
  <c r="G7" i="1" s="1"/>
  <c r="E7" i="1"/>
  <c r="X6" i="1"/>
  <c r="H6" i="1" s="1"/>
  <c r="T6" i="1"/>
  <c r="J6" i="1"/>
  <c r="G6" i="1"/>
  <c r="F6" i="1"/>
  <c r="U6" i="1" s="1"/>
  <c r="L6" i="1" s="1"/>
  <c r="E6" i="1"/>
  <c r="X5" i="1"/>
  <c r="H5" i="1" s="1"/>
  <c r="T5" i="1"/>
  <c r="J5" i="1"/>
  <c r="F5" i="1"/>
  <c r="G5" i="1" s="1"/>
  <c r="E5" i="1"/>
  <c r="X4" i="1"/>
  <c r="T4" i="1"/>
  <c r="J4" i="1"/>
  <c r="F4" i="1"/>
  <c r="G4" i="1" s="1"/>
  <c r="G12" i="1" s="1"/>
  <c r="E4" i="1"/>
  <c r="E12" i="1" s="1"/>
  <c r="H12" i="1" s="1"/>
  <c r="J12" i="1" l="1"/>
  <c r="I10" i="1"/>
  <c r="M10" i="1"/>
  <c r="M8" i="1"/>
  <c r="I8" i="1"/>
  <c r="L4" i="1"/>
  <c r="I6" i="1"/>
  <c r="M6" i="1"/>
  <c r="I9" i="1"/>
  <c r="M9" i="1"/>
  <c r="I5" i="1"/>
  <c r="M5" i="1"/>
  <c r="M12" i="1"/>
  <c r="I12" i="1"/>
  <c r="I13" i="1"/>
  <c r="M13" i="1"/>
  <c r="C19" i="1"/>
  <c r="A18" i="1"/>
  <c r="E18" i="1"/>
  <c r="U5" i="1"/>
  <c r="L5" i="1" s="1"/>
  <c r="M7" i="1"/>
  <c r="U9" i="1"/>
  <c r="L9" i="1" s="1"/>
  <c r="M11" i="1"/>
  <c r="F12" i="1"/>
  <c r="U12" i="1" s="1"/>
  <c r="L12" i="1" s="1"/>
  <c r="U13" i="1"/>
  <c r="L13" i="1" s="1"/>
  <c r="U4" i="1"/>
  <c r="U8" i="1"/>
  <c r="L8" i="1" s="1"/>
  <c r="U7" i="1"/>
  <c r="L7" i="1" s="1"/>
  <c r="U11" i="1"/>
  <c r="L11" i="1" s="1"/>
  <c r="H4" i="1"/>
  <c r="F18" i="1"/>
  <c r="M4" i="1" l="1"/>
  <c r="I4" i="1"/>
  <c r="D19" i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<sst xmlns="http://schemas.openxmlformats.org/spreadsheetml/2006/main" count="49" uniqueCount="45">
  <si>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</si>
  <si>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</si>
  <si>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05-Oct-25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</si>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</sst>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G1" workbookViewId="0">
      <selection activeCell="P15" sqref="P15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102444</v>
      </c>
      <c r="C4" s="9">
        <v>2343382</v>
      </c>
      <c r="D4" s="9">
        <v>386176</v>
      </c>
      <c r="E4" s="9">
        <f t="shared" ref="E4:E11" si="0">C4-D4</f>
        <v>1957206</v>
      </c>
      <c r="F4" s="9">
        <f t="shared" ref="F4:F11" si="1">C4*W4/V4</f>
        <v>360520.30769230769</v>
      </c>
      <c r="G4" s="9">
        <f t="shared" ref="G4:G11" si="2">F4-D4</f>
        <v>-25655.692307692312</v>
      </c>
      <c r="H4" s="9">
        <f t="shared" ref="H4:H13" si="3">(E4+B4)/(X4+1)</f>
        <v>89550</v>
      </c>
      <c r="I4" s="9">
        <f t="shared" ref="I4:I13" si="4">H4*N4</f>
        <v>636700.5</v>
      </c>
      <c r="J4" s="9">
        <f t="shared" ref="J4:J13" si="5">B4*O4</f>
        <v>681252.60000000009</v>
      </c>
      <c r="K4" s="9">
        <v>100065</v>
      </c>
      <c r="L4" s="16">
        <f t="shared" ref="L4:L13" si="6">T4/U4</f>
        <v>1.0018612778244322</v>
      </c>
      <c r="M4" s="9">
        <f t="shared" ref="M4:M13" si="7">H4/P4</f>
        <v>8955</v>
      </c>
      <c r="N4" s="8">
        <v>7.11</v>
      </c>
      <c r="O4" s="8">
        <v>6.65</v>
      </c>
      <c r="P4" s="8">
        <v>10</v>
      </c>
      <c r="Q4" s="8">
        <v>10.43</v>
      </c>
      <c r="R4" s="11">
        <v>0.68</v>
      </c>
      <c r="S4" s="11">
        <v>0.73010000000000008</v>
      </c>
      <c r="T4" s="9">
        <f t="shared" ref="T4:T13" si="8">O4*D4</f>
        <v>2568070.4</v>
      </c>
      <c r="U4" s="9">
        <f t="shared" ref="U4:U13" si="9">N4*F4</f>
        <v>2563299.3876923076</v>
      </c>
      <c r="V4" s="8">
        <v>26</v>
      </c>
      <c r="W4" s="8">
        <v>4</v>
      </c>
      <c r="X4" s="8">
        <f t="shared" ref="X4:X13" si="10">V4-W4</f>
        <v>22</v>
      </c>
    </row>
    <row r="5" spans="1:24" x14ac:dyDescent="0.25">
      <c r="A5" s="10" t="s">
        <v>28</v>
      </c>
      <c r="B5" s="9">
        <v>13490</v>
      </c>
      <c r="C5" s="9">
        <v>285887</v>
      </c>
      <c r="D5" s="9">
        <v>47810</v>
      </c>
      <c r="E5" s="9">
        <f t="shared" si="0"/>
        <v>238077</v>
      </c>
      <c r="F5" s="9">
        <f t="shared" si="1"/>
        <v>43982.615384615383</v>
      </c>
      <c r="G5" s="9">
        <f t="shared" si="2"/>
        <v>-3827.3846153846171</v>
      </c>
      <c r="H5" s="9">
        <f t="shared" si="3"/>
        <v>10937.695652173914</v>
      </c>
      <c r="I5" s="9">
        <f t="shared" si="4"/>
        <v>65188.666086956524</v>
      </c>
      <c r="J5" s="9">
        <f t="shared" si="5"/>
        <v>77837.299999999988</v>
      </c>
      <c r="K5" s="9">
        <v>9144</v>
      </c>
      <c r="L5" s="16">
        <f t="shared" si="6"/>
        <v>1.052367061393267</v>
      </c>
      <c r="M5" s="17">
        <f t="shared" si="7"/>
        <v>1093.7695652173913</v>
      </c>
      <c r="N5" s="8">
        <v>5.96</v>
      </c>
      <c r="O5" s="8">
        <v>5.77</v>
      </c>
      <c r="P5" s="8">
        <v>10</v>
      </c>
      <c r="Q5" s="8">
        <v>8.8699999999999992</v>
      </c>
      <c r="R5" s="11">
        <v>0.68</v>
      </c>
      <c r="S5" s="11">
        <v>0.79769999999999996</v>
      </c>
      <c r="T5" s="9">
        <f t="shared" si="8"/>
        <v>275863.69999999995</v>
      </c>
      <c r="U5" s="9">
        <f t="shared" si="9"/>
        <v>262136.38769230768</v>
      </c>
      <c r="V5" s="8">
        <v>26</v>
      </c>
      <c r="W5" s="8">
        <v>4</v>
      </c>
      <c r="X5" s="8">
        <f t="shared" si="10"/>
        <v>22</v>
      </c>
    </row>
    <row r="6" spans="1:24" x14ac:dyDescent="0.25">
      <c r="A6" s="10" t="s">
        <v>29</v>
      </c>
      <c r="B6" s="9">
        <v>46818</v>
      </c>
      <c r="C6" s="9">
        <v>1652169</v>
      </c>
      <c r="D6" s="9">
        <v>189244</v>
      </c>
      <c r="E6" s="9">
        <f t="shared" si="0"/>
        <v>1462925</v>
      </c>
      <c r="F6" s="9">
        <f t="shared" si="1"/>
        <v>254179.84615384616</v>
      </c>
      <c r="G6" s="9">
        <f t="shared" si="2"/>
        <v>64935.846153846156</v>
      </c>
      <c r="H6" s="9">
        <f t="shared" si="3"/>
        <v>65641</v>
      </c>
      <c r="I6" s="9">
        <f t="shared" si="4"/>
        <v>398440.87</v>
      </c>
      <c r="J6" s="9">
        <f t="shared" si="5"/>
        <v>259371.72</v>
      </c>
      <c r="K6" s="9">
        <v>41296</v>
      </c>
      <c r="L6" s="16">
        <f t="shared" si="6"/>
        <v>0.67951974425296002</v>
      </c>
      <c r="M6" s="9">
        <f t="shared" si="7"/>
        <v>6251.5238095238092</v>
      </c>
      <c r="N6" s="8">
        <v>6.07</v>
      </c>
      <c r="O6" s="8">
        <v>5.54</v>
      </c>
      <c r="P6" s="8">
        <v>10.5</v>
      </c>
      <c r="Q6" s="8">
        <v>8.2200000000000006</v>
      </c>
      <c r="R6" s="11">
        <v>0.72</v>
      </c>
      <c r="S6" s="11">
        <v>0.75049999999999994</v>
      </c>
      <c r="T6" s="9">
        <f t="shared" si="8"/>
        <v>1048411.76</v>
      </c>
      <c r="U6" s="9">
        <f t="shared" si="9"/>
        <v>1542871.6661538463</v>
      </c>
      <c r="V6" s="8">
        <v>26</v>
      </c>
      <c r="W6" s="8">
        <v>4</v>
      </c>
      <c r="X6" s="8">
        <f t="shared" si="10"/>
        <v>22</v>
      </c>
    </row>
    <row r="7" spans="1:24" x14ac:dyDescent="0.25">
      <c r="A7" s="10" t="s">
        <v>30</v>
      </c>
      <c r="B7" s="9">
        <v>66807</v>
      </c>
      <c r="C7" s="9">
        <v>1755763</v>
      </c>
      <c r="D7" s="9">
        <v>263463</v>
      </c>
      <c r="E7" s="9">
        <f t="shared" si="0"/>
        <v>1492300</v>
      </c>
      <c r="F7" s="9">
        <f t="shared" si="1"/>
        <v>270117.38461538462</v>
      </c>
      <c r="G7" s="9">
        <f t="shared" si="2"/>
        <v>6654.3846153846243</v>
      </c>
      <c r="H7" s="9">
        <f t="shared" si="3"/>
        <v>67787.260869565216</v>
      </c>
      <c r="I7" s="9">
        <f t="shared" si="4"/>
        <v>699564.53217391309</v>
      </c>
      <c r="J7" s="9">
        <f t="shared" si="5"/>
        <v>594582.30000000005</v>
      </c>
      <c r="K7" s="9">
        <v>74515</v>
      </c>
      <c r="L7" s="16">
        <f t="shared" si="6"/>
        <v>0.84115766359524413</v>
      </c>
      <c r="M7" s="9">
        <f t="shared" si="7"/>
        <v>7531.9178743961347</v>
      </c>
      <c r="N7" s="8">
        <v>10.32</v>
      </c>
      <c r="O7" s="8">
        <v>8.9</v>
      </c>
      <c r="P7" s="8">
        <v>9</v>
      </c>
      <c r="Q7" s="8">
        <v>8.98</v>
      </c>
      <c r="R7" s="11">
        <v>0.6</v>
      </c>
      <c r="S7" s="11">
        <v>0.62919999999999998</v>
      </c>
      <c r="T7" s="9">
        <f t="shared" si="8"/>
        <v>2344820.7000000002</v>
      </c>
      <c r="U7" s="9">
        <f t="shared" si="9"/>
        <v>2787611.4092307696</v>
      </c>
      <c r="V7" s="8">
        <v>26</v>
      </c>
      <c r="W7" s="8">
        <v>4</v>
      </c>
      <c r="X7" s="8">
        <f t="shared" si="10"/>
        <v>22</v>
      </c>
    </row>
    <row r="8" spans="1:24" x14ac:dyDescent="0.25">
      <c r="A8" s="10" t="s">
        <v>31</v>
      </c>
      <c r="B8" s="9">
        <v>93947</v>
      </c>
      <c r="C8" s="9">
        <v>2319422</v>
      </c>
      <c r="D8" s="9">
        <v>372028</v>
      </c>
      <c r="E8" s="9">
        <f t="shared" si="0"/>
        <v>1947394</v>
      </c>
      <c r="F8" s="9">
        <f t="shared" si="1"/>
        <v>356834.15384615387</v>
      </c>
      <c r="G8" s="9">
        <f t="shared" si="2"/>
        <v>-15193.846153846127</v>
      </c>
      <c r="H8" s="9">
        <f t="shared" si="3"/>
        <v>88753.956521739135</v>
      </c>
      <c r="I8" s="9">
        <f t="shared" si="4"/>
        <v>665654.67391304346</v>
      </c>
      <c r="J8" s="9">
        <f t="shared" si="5"/>
        <v>645415.89</v>
      </c>
      <c r="K8" s="9">
        <v>100692</v>
      </c>
      <c r="L8" s="16">
        <f t="shared" si="6"/>
        <v>0.95500288951299062</v>
      </c>
      <c r="M8" s="9">
        <f t="shared" si="7"/>
        <v>8875.3956521739128</v>
      </c>
      <c r="N8" s="8">
        <v>7.5</v>
      </c>
      <c r="O8" s="8">
        <v>6.87</v>
      </c>
      <c r="P8" s="8">
        <v>10</v>
      </c>
      <c r="Q8" s="8">
        <v>10.210000000000001</v>
      </c>
      <c r="R8" s="11">
        <v>0.64</v>
      </c>
      <c r="S8" s="11">
        <v>0.68010000000000004</v>
      </c>
      <c r="T8" s="9">
        <f t="shared" si="8"/>
        <v>2555832.36</v>
      </c>
      <c r="U8" s="9">
        <f t="shared" si="9"/>
        <v>2676256.153846154</v>
      </c>
      <c r="V8" s="8">
        <v>26</v>
      </c>
      <c r="W8" s="8">
        <v>4</v>
      </c>
      <c r="X8" s="8">
        <f t="shared" si="10"/>
        <v>22</v>
      </c>
    </row>
    <row r="9" spans="1:24" x14ac:dyDescent="0.25">
      <c r="A9" s="10" t="s">
        <v>32</v>
      </c>
      <c r="B9" s="9">
        <v>86555</v>
      </c>
      <c r="C9" s="9">
        <v>2196792</v>
      </c>
      <c r="D9" s="9">
        <v>360497</v>
      </c>
      <c r="E9" s="9">
        <f t="shared" si="0"/>
        <v>1836295</v>
      </c>
      <c r="F9" s="9">
        <f t="shared" si="1"/>
        <v>337968</v>
      </c>
      <c r="G9" s="9">
        <f t="shared" si="2"/>
        <v>-22529</v>
      </c>
      <c r="H9" s="9">
        <f t="shared" si="3"/>
        <v>83602.173913043473</v>
      </c>
      <c r="I9" s="9">
        <f t="shared" si="4"/>
        <v>658785.13043478259</v>
      </c>
      <c r="J9" s="9">
        <f t="shared" si="5"/>
        <v>634448.15</v>
      </c>
      <c r="K9" s="9">
        <v>92261</v>
      </c>
      <c r="L9" s="16">
        <f t="shared" si="6"/>
        <v>0.99221052691499234</v>
      </c>
      <c r="M9" s="9">
        <f t="shared" si="7"/>
        <v>8360.217391304348</v>
      </c>
      <c r="N9" s="8">
        <v>7.88</v>
      </c>
      <c r="O9" s="8">
        <v>7.33</v>
      </c>
      <c r="P9" s="8">
        <v>10</v>
      </c>
      <c r="Q9" s="8">
        <v>12.1</v>
      </c>
      <c r="R9" s="11">
        <v>0.68</v>
      </c>
      <c r="S9" s="11">
        <v>0.65720000000000001</v>
      </c>
      <c r="T9" s="9">
        <f t="shared" si="8"/>
        <v>2642443.0100000002</v>
      </c>
      <c r="U9" s="9">
        <f t="shared" si="9"/>
        <v>2663187.84</v>
      </c>
      <c r="V9" s="8">
        <v>26</v>
      </c>
      <c r="W9" s="8">
        <v>4</v>
      </c>
      <c r="X9" s="8">
        <f t="shared" si="10"/>
        <v>22</v>
      </c>
    </row>
    <row r="10" spans="1:24" ht="14.25" customHeight="1" x14ac:dyDescent="0.25">
      <c r="A10" s="10" t="s">
        <v>33</v>
      </c>
      <c r="B10" s="9">
        <v>104555</v>
      </c>
      <c r="C10" s="9">
        <v>3634362</v>
      </c>
      <c r="D10" s="9">
        <v>445865</v>
      </c>
      <c r="E10" s="9">
        <f t="shared" si="0"/>
        <v>3188497</v>
      </c>
      <c r="F10" s="9">
        <f t="shared" si="1"/>
        <v>559132.61538461538</v>
      </c>
      <c r="G10" s="9">
        <f t="shared" si="2"/>
        <v>113267.61538461538</v>
      </c>
      <c r="H10" s="9">
        <f t="shared" si="3"/>
        <v>143176.17391304349</v>
      </c>
      <c r="I10" s="9">
        <f t="shared" si="4"/>
        <v>1241337.427826087</v>
      </c>
      <c r="J10" s="9">
        <f t="shared" si="5"/>
        <v>793572.45</v>
      </c>
      <c r="K10" s="9">
        <v>112865</v>
      </c>
      <c r="L10" s="16">
        <f t="shared" si="6"/>
        <v>0.69808970616907229</v>
      </c>
      <c r="M10" s="9">
        <f t="shared" si="7"/>
        <v>14317.617391304349</v>
      </c>
      <c r="N10" s="8">
        <v>8.67</v>
      </c>
      <c r="O10" s="8">
        <v>7.59</v>
      </c>
      <c r="P10" s="8">
        <v>10</v>
      </c>
      <c r="Q10" s="8">
        <v>8.4600000000000009</v>
      </c>
      <c r="R10" s="11">
        <v>0.65</v>
      </c>
      <c r="S10" s="11">
        <v>0.69230000000000003</v>
      </c>
      <c r="T10" s="9">
        <f t="shared" si="8"/>
        <v>3384115.35</v>
      </c>
      <c r="U10" s="9">
        <f t="shared" si="9"/>
        <v>4847679.7753846152</v>
      </c>
      <c r="V10" s="8">
        <v>26</v>
      </c>
      <c r="W10" s="8">
        <v>4</v>
      </c>
      <c r="X10" s="8">
        <f t="shared" si="10"/>
        <v>22</v>
      </c>
    </row>
    <row r="11" spans="1:24" ht="14.25" customHeight="1" thickBot="1" x14ac:dyDescent="0.3">
      <c r="A11" s="21" t="s">
        <v>34</v>
      </c>
      <c r="B11" s="22">
        <v>921</v>
      </c>
      <c r="C11" s="22">
        <v>335974</v>
      </c>
      <c r="D11" s="22">
        <v>55287</v>
      </c>
      <c r="E11" s="9">
        <f t="shared" si="0"/>
        <v>280687</v>
      </c>
      <c r="F11" s="9">
        <f t="shared" si="1"/>
        <v>51688.307692307695</v>
      </c>
      <c r="G11" s="9">
        <f t="shared" si="2"/>
        <v>-3598.6923076923049</v>
      </c>
      <c r="H11" s="9">
        <f t="shared" si="3"/>
        <v>12243.826086956522</v>
      </c>
      <c r="I11" s="9">
        <f t="shared" si="4"/>
        <v>80931.69043478262</v>
      </c>
      <c r="J11" s="9">
        <f t="shared" si="5"/>
        <v>994.68000000000006</v>
      </c>
      <c r="K11" s="9">
        <v>23664</v>
      </c>
      <c r="L11" s="16">
        <f t="shared" si="6"/>
        <v>0.17476441494324624</v>
      </c>
      <c r="M11" s="9">
        <f t="shared" si="7"/>
        <v>1530.4782608695652</v>
      </c>
      <c r="N11" s="18">
        <v>6.61</v>
      </c>
      <c r="O11" s="18">
        <v>1.08</v>
      </c>
      <c r="P11" s="18">
        <v>8</v>
      </c>
      <c r="Q11" s="18">
        <v>8.06</v>
      </c>
      <c r="R11" s="19">
        <v>0.63</v>
      </c>
      <c r="S11" s="19">
        <v>0.1023</v>
      </c>
      <c r="T11" s="9">
        <f t="shared" si="8"/>
        <v>59709.960000000006</v>
      </c>
      <c r="U11" s="9">
        <f t="shared" si="9"/>
        <v>341659.71384615387</v>
      </c>
      <c r="V11" s="18">
        <v>26</v>
      </c>
      <c r="W11" s="18">
        <v>4</v>
      </c>
      <c r="X11" s="8">
        <f t="shared" si="10"/>
        <v>22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515537</v>
      </c>
      <c r="C12" s="7">
        <f t="shared" si="11"/>
        <v>14523751</v>
      </c>
      <c r="D12" s="7">
        <f t="shared" si="11"/>
        <v>2120370</v>
      </c>
      <c r="E12" s="7">
        <f t="shared" si="11"/>
        <v>12403381</v>
      </c>
      <c r="F12" s="7">
        <f t="shared" si="11"/>
        <v>2234423.2307692305</v>
      </c>
      <c r="G12" s="7">
        <f t="shared" si="11"/>
        <v>114053.23076923078</v>
      </c>
      <c r="H12" s="7">
        <f t="shared" si="3"/>
        <v>561692.08695652173</v>
      </c>
      <c r="I12" s="7">
        <f t="shared" si="4"/>
        <v>4431750.5660869563</v>
      </c>
      <c r="J12" s="7">
        <f t="shared" si="5"/>
        <v>3204706.8762499993</v>
      </c>
      <c r="K12" s="7">
        <f>SUM(K4:K11)</f>
        <v>554502</v>
      </c>
      <c r="L12" s="12">
        <f t="shared" si="6"/>
        <v>0.74764887137289471</v>
      </c>
      <c r="M12" s="7">
        <f t="shared" si="7"/>
        <v>56793.942058293396</v>
      </c>
      <c r="N12" s="6">
        <v>7.89</v>
      </c>
      <c r="O12" s="6">
        <f>AVERAGE(O4:O11)</f>
        <v>6.2162499999999987</v>
      </c>
      <c r="P12" s="6">
        <v>9.89</v>
      </c>
      <c r="Q12" s="6">
        <f>AVERAGE(Q4:Q11)</f>
        <v>9.4162500000000016</v>
      </c>
      <c r="R12" s="12">
        <v>0.65659999999999996</v>
      </c>
      <c r="S12" s="12">
        <f>AVERAGE(S4:S11)</f>
        <v>0.62992499999999996</v>
      </c>
      <c r="T12" s="7">
        <f t="shared" si="8"/>
        <v>13180750.012499997</v>
      </c>
      <c r="U12" s="7">
        <f t="shared" si="9"/>
        <v>17629599.290769227</v>
      </c>
      <c r="V12" s="6">
        <v>26</v>
      </c>
      <c r="W12" s="6">
        <f>W11</f>
        <v>4</v>
      </c>
      <c r="X12" s="6">
        <f t="shared" si="10"/>
        <v>22</v>
      </c>
    </row>
    <row r="13" spans="1:24" ht="15.75" customHeight="1" thickTop="1" x14ac:dyDescent="0.25">
      <c r="A13" s="10" t="s">
        <v>36</v>
      </c>
      <c r="B13" s="9">
        <v>128250</v>
      </c>
      <c r="C13" s="9">
        <v>3013766</v>
      </c>
      <c r="D13" s="9">
        <v>497683</v>
      </c>
      <c r="E13" s="9">
        <f>C13-D13</f>
        <v>2516083</v>
      </c>
      <c r="F13" s="9">
        <f>C13*W13/V13</f>
        <v>463656.30769230769</v>
      </c>
      <c r="G13" s="9">
        <f>F13-D13</f>
        <v>-34026.692307692312</v>
      </c>
      <c r="H13" s="9">
        <f t="shared" si="3"/>
        <v>114971</v>
      </c>
      <c r="I13" s="9">
        <f t="shared" si="4"/>
        <v>447237.19</v>
      </c>
      <c r="J13" s="9">
        <f t="shared" si="5"/>
        <v>532237.5</v>
      </c>
      <c r="K13" s="9">
        <v>123113</v>
      </c>
      <c r="L13" s="16">
        <f t="shared" si="6"/>
        <v>1.1451308880615541</v>
      </c>
      <c r="M13" s="9">
        <f t="shared" si="7"/>
        <v>13035.260770975055</v>
      </c>
      <c r="N13" s="8">
        <v>3.89</v>
      </c>
      <c r="O13" s="8">
        <v>4.1500000000000004</v>
      </c>
      <c r="P13" s="8">
        <v>8.82</v>
      </c>
      <c r="Q13" s="8">
        <v>10.119999999999999</v>
      </c>
      <c r="R13" s="11">
        <v>0.74</v>
      </c>
      <c r="S13" s="11">
        <v>0.75569999999999993</v>
      </c>
      <c r="T13" s="9">
        <f t="shared" si="8"/>
        <v>2065384.4500000002</v>
      </c>
      <c r="U13" s="9">
        <f t="shared" si="9"/>
        <v>1803623.036923077</v>
      </c>
      <c r="V13" s="8">
        <v>26</v>
      </c>
      <c r="W13" s="8">
        <v>4</v>
      </c>
      <c r="X13" s="8">
        <f t="shared" si="10"/>
        <v>22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14523751</v>
      </c>
      <c r="B18" s="13">
        <f>D12</f>
        <v>2120370</v>
      </c>
      <c r="C18" s="13">
        <f>QUOTIENT(B12,10000)*10000</f>
        <v>510000</v>
      </c>
      <c r="D18" s="13">
        <f t="shared" ref="D18:D23" si="12">C18*$X$12</f>
        <v>11220000</v>
      </c>
      <c r="E18" s="13">
        <f t="shared" ref="E18:E23" si="13">$D$12+D18</f>
        <v>13340370</v>
      </c>
      <c r="F18" s="13">
        <f t="shared" ref="F18:F23" si="14">$C$12-E18</f>
        <v>1183381</v>
      </c>
      <c r="M18" s="1"/>
    </row>
    <row r="19" spans="1:13" x14ac:dyDescent="0.25">
      <c r="A19" s="15" t="s">
        <v>44</v>
      </c>
      <c r="B19" s="14"/>
      <c r="C19" s="13">
        <f>C18+35000</f>
        <v>545000</v>
      </c>
      <c r="D19" s="13">
        <f t="shared" si="12"/>
        <v>11990000</v>
      </c>
      <c r="E19" s="13">
        <f t="shared" si="13"/>
        <v>14110370</v>
      </c>
      <c r="F19" s="13">
        <f t="shared" si="14"/>
        <v>413381</v>
      </c>
      <c r="M19" s="1"/>
    </row>
    <row r="20" spans="1:13" x14ac:dyDescent="0.25">
      <c r="A20" s="15" t="s">
        <v>44</v>
      </c>
      <c r="B20" s="14"/>
      <c r="C20" s="13">
        <f>C19+35000</f>
        <v>580000</v>
      </c>
      <c r="D20" s="13">
        <f t="shared" si="12"/>
        <v>12760000</v>
      </c>
      <c r="E20" s="13">
        <f t="shared" si="13"/>
        <v>14880370</v>
      </c>
      <c r="F20" s="13">
        <f t="shared" si="14"/>
        <v>-356619</v>
      </c>
    </row>
    <row r="21" spans="1:13" x14ac:dyDescent="0.25">
      <c r="A21" s="15" t="s">
        <v>44</v>
      </c>
      <c r="B21" s="14"/>
      <c r="C21" s="13">
        <f>C20+35000</f>
        <v>615000</v>
      </c>
      <c r="D21" s="13">
        <f t="shared" si="12"/>
        <v>13530000</v>
      </c>
      <c r="E21" s="13">
        <f t="shared" si="13"/>
        <v>15650370</v>
      </c>
      <c r="F21" s="13">
        <f t="shared" si="14"/>
        <v>-1126619</v>
      </c>
    </row>
    <row r="22" spans="1:13" x14ac:dyDescent="0.25">
      <c r="A22" s="15" t="s">
        <v>44</v>
      </c>
      <c r="B22" s="14"/>
      <c r="C22" s="13">
        <f>C21+35000</f>
        <v>650000</v>
      </c>
      <c r="D22" s="13">
        <f t="shared" si="12"/>
        <v>14300000</v>
      </c>
      <c r="E22" s="13">
        <f t="shared" si="13"/>
        <v>16420370</v>
      </c>
      <c r="F22" s="13">
        <f t="shared" si="14"/>
        <v>-1896619</v>
      </c>
    </row>
    <row r="23" spans="1:13" x14ac:dyDescent="0.25">
      <c r="A23" s="15" t="s">
        <v>44</v>
      </c>
      <c r="B23" s="14"/>
      <c r="C23" s="13">
        <f>C22+35000</f>
        <v>685000</v>
      </c>
      <c r="D23" s="13">
        <f t="shared" si="12"/>
        <v>15070000</v>
      </c>
      <c r="E23" s="13">
        <f t="shared" si="13"/>
        <v>17190370</v>
      </c>
      <c r="F23" s="13">
        <f t="shared" si="14"/>
        <v>-2666619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2025-10-06T04:53:35Z</dcterms:modified>
</cp:coreProperties>
</file>