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24-Nov-25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96073</v>
      </c>
      <c r="C4" s="9" t="n">
        <v>2203539</v>
      </c>
      <c r="D4" s="9" t="n">
        <v>1615051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98820</v>
      </c>
      <c r="L4" s="16">
        <f>T4/U4</f>
        <v/>
      </c>
      <c r="M4" s="9">
        <f>H4/P4</f>
        <v/>
      </c>
      <c r="N4" s="8" t="n">
        <v>7.6</v>
      </c>
      <c r="O4" s="8" t="n">
        <v>8.06</v>
      </c>
      <c r="P4" s="8" t="n">
        <v>10</v>
      </c>
      <c r="Q4" s="8" t="n">
        <v>10.47</v>
      </c>
      <c r="R4" s="11" t="n">
        <v>0.72</v>
      </c>
      <c r="S4" s="11" t="n">
        <v>0.7042</v>
      </c>
      <c r="T4" s="9">
        <f>O4*D4</f>
        <v/>
      </c>
      <c r="U4" s="9">
        <f>N4*F4</f>
        <v/>
      </c>
      <c r="V4" s="8" t="n">
        <v>26</v>
      </c>
      <c r="W4" s="8" t="n">
        <v>21</v>
      </c>
      <c r="X4" s="8">
        <f>V4-W4</f>
        <v/>
      </c>
    </row>
    <row r="5">
      <c r="A5" s="10" t="inlineStr">
        <is>
          <t>JAL3</t>
        </is>
      </c>
      <c r="B5" s="9" t="n">
        <v>12290</v>
      </c>
      <c r="C5" s="9" t="n">
        <v>313636</v>
      </c>
      <c r="D5" s="9" t="n">
        <v>246691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10029</v>
      </c>
      <c r="L5" s="16">
        <f>T5/U5</f>
        <v/>
      </c>
      <c r="M5" s="17">
        <f>H5/P5</f>
        <v/>
      </c>
      <c r="N5" s="8" t="n">
        <v>6.47</v>
      </c>
      <c r="O5" s="8" t="n">
        <v>6.53</v>
      </c>
      <c r="P5" s="8" t="n">
        <v>10</v>
      </c>
      <c r="Q5" s="8" t="n">
        <v>10.69</v>
      </c>
      <c r="R5" s="11" t="n">
        <v>0.72</v>
      </c>
      <c r="S5" s="11" t="n">
        <v>0.7264</v>
      </c>
      <c r="T5" s="9">
        <f>O5*D5</f>
        <v/>
      </c>
      <c r="U5" s="9">
        <f>N5*F5</f>
        <v/>
      </c>
      <c r="V5" s="8" t="n">
        <v>26</v>
      </c>
      <c r="W5" s="8" t="n">
        <v>21</v>
      </c>
      <c r="X5" s="8">
        <f>V5-W5</f>
        <v/>
      </c>
    </row>
    <row r="6">
      <c r="A6" s="10" t="inlineStr">
        <is>
          <t>JFL</t>
        </is>
      </c>
      <c r="B6" s="9" t="n">
        <v>40368</v>
      </c>
      <c r="C6" s="9" t="n">
        <v>1498277</v>
      </c>
      <c r="D6" s="9" t="n">
        <v>848765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39131</v>
      </c>
      <c r="L6" s="16">
        <f>T6/U6</f>
        <v/>
      </c>
      <c r="M6" s="9">
        <f>H6/P6</f>
        <v/>
      </c>
      <c r="N6" s="8" t="n">
        <v>6.49</v>
      </c>
      <c r="O6" s="8" t="n">
        <v>6.26</v>
      </c>
      <c r="P6" s="8" t="n">
        <v>10</v>
      </c>
      <c r="Q6" s="8" t="n">
        <v>9.109999999999999</v>
      </c>
      <c r="R6" s="11" t="n">
        <v>0.73</v>
      </c>
      <c r="S6" s="11" t="n">
        <v>0.6756</v>
      </c>
      <c r="T6" s="9">
        <f>O6*D6</f>
        <v/>
      </c>
      <c r="U6" s="9">
        <f>N6*F6</f>
        <v/>
      </c>
      <c r="V6" s="8" t="n">
        <v>26</v>
      </c>
      <c r="W6" s="8" t="n">
        <v>21</v>
      </c>
      <c r="X6" s="8">
        <f>V6-W6</f>
        <v/>
      </c>
    </row>
    <row r="7">
      <c r="A7" s="10" t="inlineStr">
        <is>
          <t>JKL</t>
        </is>
      </c>
      <c r="B7" s="9" t="n">
        <v>69951</v>
      </c>
      <c r="C7" s="9" t="n">
        <v>2014480</v>
      </c>
      <c r="D7" s="9" t="n">
        <v>1135196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78661</v>
      </c>
      <c r="L7" s="16">
        <f>T7/U7</f>
        <v/>
      </c>
      <c r="M7" s="9">
        <f>H7/P7</f>
        <v/>
      </c>
      <c r="N7" s="8" t="n">
        <v>9.27</v>
      </c>
      <c r="O7" s="8" t="n">
        <v>9.619999999999999</v>
      </c>
      <c r="P7" s="8" t="n">
        <v>10</v>
      </c>
      <c r="Q7" s="8" t="n">
        <v>8.800000000000001</v>
      </c>
      <c r="R7" s="11" t="n">
        <v>0.65</v>
      </c>
      <c r="S7" s="11" t="n">
        <v>0.5740999999999999</v>
      </c>
      <c r="T7" s="9">
        <f>O7*D7</f>
        <v/>
      </c>
      <c r="U7" s="9">
        <f>N7*F7</f>
        <v/>
      </c>
      <c r="V7" s="8" t="n">
        <v>26</v>
      </c>
      <c r="W7" s="8" t="n">
        <v>21</v>
      </c>
      <c r="X7" s="8">
        <f>V7-W7</f>
        <v/>
      </c>
    </row>
    <row r="8">
      <c r="A8" s="10" t="inlineStr">
        <is>
          <t>MFL</t>
        </is>
      </c>
      <c r="B8" s="9" t="n">
        <v>77844</v>
      </c>
      <c r="C8" s="9" t="n">
        <v>2332178</v>
      </c>
      <c r="D8" s="9" t="n">
        <v>1511726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84459</v>
      </c>
      <c r="L8" s="16">
        <f>T8/U8</f>
        <v/>
      </c>
      <c r="M8" s="9">
        <f>H8/P8</f>
        <v/>
      </c>
      <c r="N8" s="8" t="n">
        <v>7.82</v>
      </c>
      <c r="O8" s="8" t="n">
        <v>7.55</v>
      </c>
      <c r="P8" s="8" t="n">
        <v>10</v>
      </c>
      <c r="Q8" s="8" t="n">
        <v>9.23</v>
      </c>
      <c r="R8" s="11" t="n">
        <v>0.72</v>
      </c>
      <c r="S8" s="11" t="n">
        <v>0.6776000000000001</v>
      </c>
      <c r="T8" s="9">
        <f>O8*D8</f>
        <v/>
      </c>
      <c r="U8" s="9">
        <f>N8*F8</f>
        <v/>
      </c>
      <c r="V8" s="8" t="n">
        <v>26</v>
      </c>
      <c r="W8" s="8" t="n">
        <v>21</v>
      </c>
      <c r="X8" s="8">
        <f>V8-W8</f>
        <v/>
      </c>
    </row>
    <row r="9">
      <c r="A9" s="10" t="inlineStr">
        <is>
          <t>FFL2</t>
        </is>
      </c>
      <c r="B9" s="9" t="n">
        <v>109210</v>
      </c>
      <c r="C9" s="9" t="n">
        <v>2597126</v>
      </c>
      <c r="D9" s="9" t="n">
        <v>1946211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109912</v>
      </c>
      <c r="L9" s="16">
        <f>T9/U9</f>
        <v/>
      </c>
      <c r="M9" s="9">
        <f>H9/P9</f>
        <v/>
      </c>
      <c r="N9" s="8" t="n">
        <v>7.34</v>
      </c>
      <c r="O9" s="8" t="n">
        <v>7.34</v>
      </c>
      <c r="P9" s="8" t="n">
        <v>10</v>
      </c>
      <c r="Q9" s="8" t="n">
        <v>12.02</v>
      </c>
      <c r="R9" s="11" t="n">
        <v>0.73</v>
      </c>
      <c r="S9" s="11" t="n">
        <v>0.6805</v>
      </c>
      <c r="T9" s="9">
        <f>O9*D9</f>
        <v/>
      </c>
      <c r="U9" s="9">
        <f>N9*F9</f>
        <v/>
      </c>
      <c r="V9" s="8" t="n">
        <v>26</v>
      </c>
      <c r="W9" s="8" t="n">
        <v>21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124018</v>
      </c>
      <c r="C10" s="9" t="n">
        <v>3823698</v>
      </c>
      <c r="D10" s="9" t="n">
        <v>2220364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128891</v>
      </c>
      <c r="L10" s="16">
        <f>T10/U10</f>
        <v/>
      </c>
      <c r="M10" s="9">
        <f>H10/P10</f>
        <v/>
      </c>
      <c r="N10" s="8" t="n">
        <v>8.140000000000001</v>
      </c>
      <c r="O10" s="8" t="n">
        <v>8.6</v>
      </c>
      <c r="P10" s="8" t="n">
        <v>10</v>
      </c>
      <c r="Q10" s="8" t="n">
        <v>9.48</v>
      </c>
      <c r="R10" s="11" t="n">
        <v>0.72</v>
      </c>
      <c r="S10" s="11" t="n">
        <v>0.6657</v>
      </c>
      <c r="T10" s="9">
        <f>O10*D10</f>
        <v/>
      </c>
      <c r="U10" s="9">
        <f>N10*F10</f>
        <v/>
      </c>
      <c r="V10" s="8" t="n">
        <v>26</v>
      </c>
      <c r="W10" s="8" t="n">
        <v>21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23812</v>
      </c>
      <c r="C11" s="22" t="n">
        <v>48509</v>
      </c>
      <c r="D11" s="22" t="n">
        <v>175085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42890</v>
      </c>
      <c r="L11" s="16">
        <f>T11/U11</f>
        <v/>
      </c>
      <c r="M11" s="9">
        <f>H11/P11</f>
        <v/>
      </c>
      <c r="N11" s="18" t="n">
        <v>7.67</v>
      </c>
      <c r="O11" s="18" t="n">
        <v>5.6</v>
      </c>
      <c r="P11" s="18" t="n">
        <v>10</v>
      </c>
      <c r="Q11" s="18" t="n">
        <v>8</v>
      </c>
      <c r="R11" s="19" t="n">
        <v>0.63</v>
      </c>
      <c r="S11" s="19" t="n">
        <v>0.1172</v>
      </c>
      <c r="T11" s="9">
        <f>O11*D11</f>
        <v/>
      </c>
      <c r="U11" s="9">
        <f>N11*F11</f>
        <v/>
      </c>
      <c r="V11" s="18" t="n">
        <v>26</v>
      </c>
      <c r="W11" s="18" t="n">
        <v>21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109045</v>
      </c>
      <c r="C13" s="9" t="n">
        <v>3461205</v>
      </c>
      <c r="D13" s="9" t="n">
        <v>2718890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103409</v>
      </c>
      <c r="L13" s="16">
        <f>T13/U13</f>
        <v/>
      </c>
      <c r="M13" s="9">
        <f>H13/P13</f>
        <v/>
      </c>
      <c r="N13" s="8" t="n">
        <v>4.22</v>
      </c>
      <c r="O13" s="8" t="n">
        <v>3.82</v>
      </c>
      <c r="P13" s="8" t="n">
        <v>10</v>
      </c>
      <c r="Q13" s="8" t="n">
        <v>9.98</v>
      </c>
      <c r="R13" s="11" t="n">
        <v>0.8</v>
      </c>
      <c r="S13" s="11" t="n">
        <v>0.7494</v>
      </c>
      <c r="T13" s="9">
        <f>O13*D13</f>
        <v/>
      </c>
      <c r="U13" s="9">
        <f>N13*F13</f>
        <v/>
      </c>
      <c r="V13" s="8" t="n">
        <v>26</v>
      </c>
      <c r="W13" s="8" t="n">
        <v>21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2025-11-25T05:13:58Z</dcterms:modified>
  <cp:lastModifiedBy>Md. Mahfuzur Rahman</cp:lastModifiedBy>
</cp:coreProperties>
</file>