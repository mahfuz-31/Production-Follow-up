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F:\1. Work\1. Daily\Production follow up\11. Nov\"/>
    </mc:Choice>
  </mc:AlternateContent>
  <xr:revisionPtr revIDLastSave="0" documentId="13_ncr:1_{FB84BF54-4351-4A03-B923-596227C505B9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M4" i="1"/>
  <c r="I4" i="1"/>
  <c r="X13" i="1"/>
  <c r="T13" i="1"/>
  <c r="J13" i="1"/>
  <c r="G13" i="1"/>
  <c r="F13" i="1"/>
  <c r="U13" i="1" s="1"/>
  <c r="L13" i="1" s="1"/>
  <c r="E13" i="1"/>
  <c r="H13" i="1" s="1"/>
  <c r="W12" i="1"/>
  <c r="X12" i="1" s="1"/>
  <c r="S12" i="1"/>
  <c r="Q12" i="1"/>
  <c r="O12" i="1"/>
  <c r="T12" i="1" s="1"/>
  <c r="K12" i="1"/>
  <c r="E12" i="1"/>
  <c r="H12" i="1" s="1"/>
  <c r="D12" i="1"/>
  <c r="B18" i="1" s="1"/>
  <c r="C12" i="1"/>
  <c r="B12" i="1"/>
  <c r="C18" i="1" s="1"/>
  <c r="X11" i="1"/>
  <c r="T11" i="1"/>
  <c r="J11" i="1"/>
  <c r="F11" i="1"/>
  <c r="G11" i="1" s="1"/>
  <c r="E11" i="1"/>
  <c r="H11" i="1" s="1"/>
  <c r="X10" i="1"/>
  <c r="T10" i="1"/>
  <c r="J10" i="1"/>
  <c r="F10" i="1"/>
  <c r="G10" i="1" s="1"/>
  <c r="E10" i="1"/>
  <c r="H10" i="1" s="1"/>
  <c r="X9" i="1"/>
  <c r="T9" i="1"/>
  <c r="J9" i="1"/>
  <c r="H9" i="1"/>
  <c r="M9" i="1" s="1"/>
  <c r="G9" i="1"/>
  <c r="F9" i="1"/>
  <c r="U9" i="1" s="1"/>
  <c r="L9" i="1" s="1"/>
  <c r="E9" i="1"/>
  <c r="X8" i="1"/>
  <c r="H8" i="1" s="1"/>
  <c r="T8" i="1"/>
  <c r="J8" i="1"/>
  <c r="G8" i="1"/>
  <c r="F8" i="1"/>
  <c r="U8" i="1" s="1"/>
  <c r="L8" i="1" s="1"/>
  <c r="E8" i="1"/>
  <c r="X7" i="1"/>
  <c r="T7" i="1"/>
  <c r="L7" i="1" s="1"/>
  <c r="J7" i="1"/>
  <c r="F7" i="1"/>
  <c r="U7" i="1" s="1"/>
  <c r="E7" i="1"/>
  <c r="H7" i="1" s="1"/>
  <c r="X6" i="1"/>
  <c r="T6" i="1"/>
  <c r="J6" i="1"/>
  <c r="F6" i="1"/>
  <c r="G6" i="1" s="1"/>
  <c r="E6" i="1"/>
  <c r="H6" i="1" s="1"/>
  <c r="X5" i="1"/>
  <c r="T5" i="1"/>
  <c r="J5" i="1"/>
  <c r="H5" i="1"/>
  <c r="M5" i="1" s="1"/>
  <c r="G5" i="1"/>
  <c r="F5" i="1"/>
  <c r="U5" i="1" s="1"/>
  <c r="L5" i="1" s="1"/>
  <c r="E5" i="1"/>
  <c r="X4" i="1"/>
  <c r="T4" i="1"/>
  <c r="J4" i="1"/>
  <c r="G4" i="1"/>
  <c r="F4" i="1"/>
  <c r="U4" i="1" s="1"/>
  <c r="L4" i="1" s="1"/>
  <c r="E4" i="1"/>
  <c r="I8" i="1" l="1"/>
  <c r="M8" i="1"/>
  <c r="M10" i="1"/>
  <c r="I10" i="1"/>
  <c r="L11" i="1"/>
  <c r="M6" i="1"/>
  <c r="I6" i="1"/>
  <c r="I11" i="1"/>
  <c r="M11" i="1"/>
  <c r="M12" i="1"/>
  <c r="I12" i="1"/>
  <c r="I7" i="1"/>
  <c r="M7" i="1"/>
  <c r="D18" i="1"/>
  <c r="C19" i="1"/>
  <c r="L10" i="1"/>
  <c r="I13" i="1"/>
  <c r="M13" i="1"/>
  <c r="U11" i="1"/>
  <c r="I5" i="1"/>
  <c r="U6" i="1"/>
  <c r="L6" i="1" s="1"/>
  <c r="G7" i="1"/>
  <c r="G12" i="1" s="1"/>
  <c r="I9" i="1"/>
  <c r="U10" i="1"/>
  <c r="F12" i="1"/>
  <c r="U12" i="1" s="1"/>
  <c r="L12" i="1" s="1"/>
  <c r="J12" i="1"/>
  <c r="A18" i="1"/>
  <c r="E18" i="1"/>
  <c r="F18" i="1"/>
  <c r="D19" i="1" l="1"/>
  <c r="E19" i="1" s="1"/>
  <c r="F19" i="1" s="1"/>
  <c r="C20" i="1"/>
  <c r="D20" i="1" l="1"/>
  <c r="E20" i="1" s="1"/>
  <c r="F20" i="1" s="1"/>
  <c r="C21" i="1"/>
  <c r="D21" i="1" l="1"/>
  <c r="E21" i="1" s="1"/>
  <c r="F21" i="1" s="1"/>
  <c r="C22" i="1"/>
  <c r="D22" i="1" l="1"/>
  <c r="E22" i="1" s="1"/>
  <c r="F22" i="1" s="1"/>
  <c r="C23" i="1"/>
  <c r="D23" i="1" s="1"/>
  <c r="E23" i="1" s="1"/>
  <c r="F23" i="1" s="1"/>
</calcChain>
</file>

<file path=xl/sharedStrings.xml><?xml version="1.0" encoding="utf-8"?>
<sst xmlns="http://schemas.openxmlformats.org/spreadsheetml/2006/main" count="76" uniqueCount="45">
  <si>
    <t>Plan vs Achievement</t>
  </si>
  <si>
    <t xml:space="preserve">Date: </t>
  </si>
  <si>
    <t>30-Nov-25</t>
  </si>
  <si>
    <t>Production Unit</t>
  </si>
  <si>
    <t>QC Pass (Pcs)</t>
  </si>
  <si>
    <t>Plan (Pcs)</t>
  </si>
  <si>
    <t>Accu. QC Pass</t>
  </si>
  <si>
    <t>Plan Balance</t>
  </si>
  <si>
    <t>Required Prod upto yesterday</t>
  </si>
  <si>
    <t>Back Log upto yesterday</t>
  </si>
  <si>
    <t>Average Requirement as per Plan</t>
  </si>
  <si>
    <t>Average target in minutes</t>
  </si>
  <si>
    <t>QC Pass in minutes</t>
  </si>
  <si>
    <t>Factory Target</t>
  </si>
  <si>
    <t>Plan Achv % (monthly, minute based)</t>
  </si>
  <si>
    <t>Required Hr</t>
  </si>
  <si>
    <t>Plan SMV</t>
  </si>
  <si>
    <t>Produced SMV</t>
  </si>
  <si>
    <t>Plan Hr</t>
  </si>
  <si>
    <t>Produced Hr</t>
  </si>
  <si>
    <t>Plan Eff%</t>
  </si>
  <si>
    <t>Prod. Eff%</t>
  </si>
  <si>
    <t>Accu. Produced Minute</t>
  </si>
  <si>
    <t>Total Plan Minute</t>
  </si>
  <si>
    <t>Plan day</t>
  </si>
  <si>
    <t>Completed Day</t>
  </si>
  <si>
    <t>Remaining Days</t>
  </si>
  <si>
    <t>JAL</t>
  </si>
  <si>
    <t>JAL3</t>
  </si>
  <si>
    <t>JFL</t>
  </si>
  <si>
    <t>JKL</t>
  </si>
  <si>
    <t>MFL</t>
  </si>
  <si>
    <t>FFL2</t>
  </si>
  <si>
    <t>JKL-U2</t>
  </si>
  <si>
    <t>GTAL</t>
  </si>
  <si>
    <t>GMT TOTAL:</t>
  </si>
  <si>
    <t>LINGERIE</t>
  </si>
  <si>
    <t>Forecast excluding Lingerie:</t>
  </si>
  <si>
    <t>Plan Qty</t>
  </si>
  <si>
    <t>Production in Completed days</t>
  </si>
  <si>
    <t>Estimated Production/day</t>
  </si>
  <si>
    <t>Remaining days Possible Production</t>
  </si>
  <si>
    <t>Forecasted production</t>
  </si>
  <si>
    <t>Backlog from plan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</si>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</sst>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/mmm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8"/>
      <name val="Playfair Display"/>
    </font>
  </fonts>
  <fills count="4">
    <fill>
      <patternFill patternType="none"/>
    </fill>
    <fill>
      <patternFill patternType="gray125"/>
    </fill>
    <fill>
      <patternFill patternType="solid">
        <fgColor rgb="FF1B770B"/>
        <bgColor rgb="FFFFFF00"/>
      </patternFill>
    </fill>
    <fill>
      <patternFill patternType="solid">
        <fgColor theme="8" tint="-0.499984740745262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0" fillId="0" borderId="0"/>
    <xf numFmtId="9" fontId="1" fillId="0" borderId="0"/>
  </cellStyleXfs>
  <cellXfs count="27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3" fontId="0" fillId="0" borderId="2" xfId="0" applyNumberFormat="1" applyBorder="1"/>
    <xf numFmtId="0" fontId="4" fillId="0" borderId="2" xfId="0" applyFont="1" applyBorder="1"/>
    <xf numFmtId="9" fontId="0" fillId="0" borderId="2" xfId="1" applyFont="1" applyBorder="1"/>
    <xf numFmtId="9" fontId="6" fillId="2" borderId="1" xfId="1" applyFont="1" applyFill="1" applyBorder="1" applyAlignment="1">
      <alignment horizontal="center" vertical="center" wrapText="1"/>
    </xf>
    <xf numFmtId="3" fontId="7" fillId="0" borderId="2" xfId="0" applyNumberFormat="1" applyFont="1" applyBorder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9" fontId="0" fillId="0" borderId="2" xfId="1" applyFont="1" applyBorder="1" applyAlignment="1">
      <alignment horizontal="center"/>
    </xf>
    <xf numFmtId="1" fontId="0" fillId="0" borderId="2" xfId="0" applyNumberFormat="1" applyBorder="1"/>
    <xf numFmtId="0" fontId="0" fillId="0" borderId="3" xfId="0" applyBorder="1"/>
    <xf numFmtId="9" fontId="0" fillId="0" borderId="3" xfId="1" applyFont="1" applyBorder="1"/>
    <xf numFmtId="0" fontId="8" fillId="0" borderId="0" xfId="0" applyFont="1"/>
    <xf numFmtId="0" fontId="4" fillId="0" borderId="3" xfId="0" applyFont="1" applyBorder="1"/>
    <xf numFmtId="3" fontId="0" fillId="0" borderId="3" xfId="0" applyNumberFormat="1" applyBorder="1"/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9" fontId="3" fillId="0" borderId="1" xfId="1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workbookViewId="0">
      <pane xSplit="1" topLeftCell="B1" activePane="topRight" state="frozen"/>
      <selection pane="topRight" activeCell="D12" sqref="D12"/>
    </sheetView>
  </sheetViews>
  <sheetFormatPr defaultRowHeight="15" x14ac:dyDescent="0.25"/>
  <cols>
    <col min="1" max="1" width="11.5703125" customWidth="1"/>
    <col min="2" max="2" width="13.140625" customWidth="1"/>
    <col min="3" max="3" width="10.5703125" customWidth="1"/>
    <col min="4" max="4" width="10.7109375" bestFit="1" customWidth="1"/>
    <col min="5" max="5" width="11.140625" customWidth="1"/>
    <col min="6" max="6" width="10.85546875" customWidth="1"/>
    <col min="7" max="7" width="11.28515625" customWidth="1"/>
    <col min="8" max="8" width="12.42578125" customWidth="1"/>
    <col min="9" max="9" width="10.140625" customWidth="1"/>
    <col min="10" max="10" width="10" bestFit="1" customWidth="1"/>
    <col min="11" max="11" width="10.42578125" customWidth="1"/>
    <col min="13" max="13" width="11.5703125" bestFit="1" customWidth="1"/>
    <col min="20" max="20" width="11.42578125" customWidth="1"/>
    <col min="21" max="21" width="13" customWidth="1"/>
  </cols>
  <sheetData>
    <row r="1" spans="1:24" ht="29.25" customHeight="1" x14ac:dyDescent="0.55000000000000004">
      <c r="A1" s="20" t="s">
        <v>0</v>
      </c>
    </row>
    <row r="2" spans="1:24" ht="15.75" customHeight="1" thickBot="1" x14ac:dyDescent="0.3">
      <c r="A2" s="3" t="s">
        <v>1</v>
      </c>
      <c r="B2" s="4" t="s">
        <v>2</v>
      </c>
    </row>
    <row r="3" spans="1:24" ht="76.5" customHeight="1" thickTop="1" thickBot="1" x14ac:dyDescent="0.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</row>
    <row r="4" spans="1:24" ht="15.75" customHeight="1" thickTop="1" x14ac:dyDescent="0.25">
      <c r="A4" s="10" t="s">
        <v>27</v>
      </c>
      <c r="B4" s="9">
        <v>97292</v>
      </c>
      <c r="C4" s="9">
        <v>2169611.5</v>
      </c>
      <c r="D4" s="9">
        <v>2114984</v>
      </c>
      <c r="E4" s="9">
        <f t="shared" ref="E4:E11" si="0">C4-D4</f>
        <v>54627.5</v>
      </c>
      <c r="F4" s="9">
        <f t="shared" ref="F4:F11" si="1">C4*W4/V4</f>
        <v>2169611.5</v>
      </c>
      <c r="G4" s="9">
        <f t="shared" ref="G4:G11" si="2">F4-D4</f>
        <v>54627.5</v>
      </c>
      <c r="H4" s="9">
        <f>(E4+B4)/(X4+1)</f>
        <v>151919.5</v>
      </c>
      <c r="I4" s="9">
        <f>H4*N4</f>
        <v>1154588.2</v>
      </c>
      <c r="J4" s="9">
        <f t="shared" ref="J4:J13" si="3">B4*O4</f>
        <v>750121.32</v>
      </c>
      <c r="K4" s="9">
        <v>97894</v>
      </c>
      <c r="L4" s="16">
        <f t="shared" ref="L4:L13" si="4">T4/U4</f>
        <v>0.98893078808179069</v>
      </c>
      <c r="M4" s="9">
        <f>H4/P4</f>
        <v>15191.95</v>
      </c>
      <c r="N4" s="8">
        <v>7.6</v>
      </c>
      <c r="O4" s="8">
        <v>7.71</v>
      </c>
      <c r="P4" s="8">
        <v>10</v>
      </c>
      <c r="Q4" s="8">
        <v>10.47</v>
      </c>
      <c r="R4" s="11">
        <v>0.72</v>
      </c>
      <c r="S4" s="11">
        <v>0.70879999999999999</v>
      </c>
      <c r="T4" s="9">
        <f t="shared" ref="T4:T13" si="5">O4*D4</f>
        <v>16306526.640000001</v>
      </c>
      <c r="U4" s="9">
        <f t="shared" ref="U4:U13" si="6">N4*F4</f>
        <v>16489047.399999999</v>
      </c>
      <c r="V4" s="8">
        <v>26</v>
      </c>
      <c r="W4" s="8">
        <v>26</v>
      </c>
      <c r="X4" s="8">
        <f t="shared" ref="X4:X13" si="7">V4-W4</f>
        <v>0</v>
      </c>
    </row>
    <row r="5" spans="1:24" x14ac:dyDescent="0.25">
      <c r="A5" s="10" t="s">
        <v>28</v>
      </c>
      <c r="B5" s="9">
        <v>11930</v>
      </c>
      <c r="C5" s="9">
        <v>306854</v>
      </c>
      <c r="D5" s="9">
        <v>313031</v>
      </c>
      <c r="E5" s="9">
        <f t="shared" si="0"/>
        <v>-6177</v>
      </c>
      <c r="F5" s="9">
        <f t="shared" si="1"/>
        <v>306854</v>
      </c>
      <c r="G5" s="9">
        <f t="shared" si="2"/>
        <v>-6177</v>
      </c>
      <c r="H5" s="9">
        <f t="shared" ref="H5:H13" si="8">(E5+B5)/(X5+1)</f>
        <v>5753</v>
      </c>
      <c r="I5" s="9">
        <f t="shared" ref="I5:I13" si="9">H5*N5</f>
        <v>37221.909999999996</v>
      </c>
      <c r="J5" s="9">
        <f t="shared" si="3"/>
        <v>78499.399999999994</v>
      </c>
      <c r="K5" s="9">
        <v>10717</v>
      </c>
      <c r="L5" s="16">
        <f t="shared" si="4"/>
        <v>1.0374738827558558</v>
      </c>
      <c r="M5" s="17">
        <f t="shared" ref="M5:M13" si="10">H5/P5</f>
        <v>575.29999999999995</v>
      </c>
      <c r="N5" s="8">
        <v>6.47</v>
      </c>
      <c r="O5" s="8">
        <v>6.58</v>
      </c>
      <c r="P5" s="8">
        <v>10</v>
      </c>
      <c r="Q5" s="8">
        <v>10.98</v>
      </c>
      <c r="R5" s="11">
        <v>0.72</v>
      </c>
      <c r="S5" s="11">
        <v>0.72739999999999994</v>
      </c>
      <c r="T5" s="9">
        <f t="shared" si="5"/>
        <v>2059743.98</v>
      </c>
      <c r="U5" s="9">
        <f t="shared" si="6"/>
        <v>1985345.38</v>
      </c>
      <c r="V5" s="8">
        <v>26</v>
      </c>
      <c r="W5" s="8">
        <v>26</v>
      </c>
      <c r="X5" s="8">
        <f t="shared" si="7"/>
        <v>0</v>
      </c>
    </row>
    <row r="6" spans="1:24" x14ac:dyDescent="0.25">
      <c r="A6" s="10" t="s">
        <v>29</v>
      </c>
      <c r="B6" s="9">
        <v>48901</v>
      </c>
      <c r="C6" s="9">
        <v>1128363</v>
      </c>
      <c r="D6" s="9">
        <v>1087164</v>
      </c>
      <c r="E6" s="9">
        <f t="shared" si="0"/>
        <v>41199</v>
      </c>
      <c r="F6" s="9">
        <f t="shared" si="1"/>
        <v>1128363</v>
      </c>
      <c r="G6" s="9">
        <f t="shared" si="2"/>
        <v>41199</v>
      </c>
      <c r="H6" s="9">
        <f t="shared" si="8"/>
        <v>90100</v>
      </c>
      <c r="I6" s="9">
        <f t="shared" si="9"/>
        <v>584749</v>
      </c>
      <c r="J6" s="9">
        <f t="shared" si="3"/>
        <v>313944.42</v>
      </c>
      <c r="K6" s="9">
        <v>48116</v>
      </c>
      <c r="L6" s="16">
        <f t="shared" si="4"/>
        <v>0.95309580344413392</v>
      </c>
      <c r="M6" s="9">
        <f t="shared" si="10"/>
        <v>9010</v>
      </c>
      <c r="N6" s="8">
        <v>6.49</v>
      </c>
      <c r="O6" s="8">
        <v>6.42</v>
      </c>
      <c r="P6" s="8">
        <v>10</v>
      </c>
      <c r="Q6" s="8">
        <v>9.4700000000000006</v>
      </c>
      <c r="R6" s="11">
        <v>0.73</v>
      </c>
      <c r="S6" s="11">
        <v>0.67390000000000005</v>
      </c>
      <c r="T6" s="9">
        <f t="shared" si="5"/>
        <v>6979592.8799999999</v>
      </c>
      <c r="U6" s="9">
        <f t="shared" si="6"/>
        <v>7323075.8700000001</v>
      </c>
      <c r="V6" s="8">
        <v>26</v>
      </c>
      <c r="W6" s="8">
        <v>26</v>
      </c>
      <c r="X6" s="8">
        <f t="shared" si="7"/>
        <v>0</v>
      </c>
    </row>
    <row r="7" spans="1:24" x14ac:dyDescent="0.25">
      <c r="A7" s="10" t="s">
        <v>30</v>
      </c>
      <c r="B7" s="9">
        <v>77681</v>
      </c>
      <c r="C7" s="9">
        <v>1518242</v>
      </c>
      <c r="D7" s="9">
        <v>1513701</v>
      </c>
      <c r="E7" s="9">
        <f t="shared" si="0"/>
        <v>4541</v>
      </c>
      <c r="F7" s="9">
        <f t="shared" si="1"/>
        <v>1518242</v>
      </c>
      <c r="G7" s="9">
        <f t="shared" si="2"/>
        <v>4541</v>
      </c>
      <c r="H7" s="9">
        <f t="shared" si="8"/>
        <v>82222</v>
      </c>
      <c r="I7" s="9">
        <f t="shared" si="9"/>
        <v>762197.94</v>
      </c>
      <c r="J7" s="9">
        <f t="shared" si="3"/>
        <v>716995.63</v>
      </c>
      <c r="K7" s="9">
        <v>87269</v>
      </c>
      <c r="L7" s="16">
        <f t="shared" si="4"/>
        <v>0.99270695208637005</v>
      </c>
      <c r="M7" s="9">
        <f t="shared" si="10"/>
        <v>8222.2000000000007</v>
      </c>
      <c r="N7" s="8">
        <v>9.27</v>
      </c>
      <c r="O7" s="8">
        <v>9.23</v>
      </c>
      <c r="P7" s="8">
        <v>10</v>
      </c>
      <c r="Q7" s="8">
        <v>9</v>
      </c>
      <c r="R7" s="11">
        <v>0.65</v>
      </c>
      <c r="S7" s="11">
        <v>0.57740000000000002</v>
      </c>
      <c r="T7" s="9">
        <f t="shared" si="5"/>
        <v>13971460.23</v>
      </c>
      <c r="U7" s="9">
        <f t="shared" si="6"/>
        <v>14074103.34</v>
      </c>
      <c r="V7" s="8">
        <v>26</v>
      </c>
      <c r="W7" s="8">
        <v>26</v>
      </c>
      <c r="X7" s="8">
        <f t="shared" si="7"/>
        <v>0</v>
      </c>
    </row>
    <row r="8" spans="1:24" x14ac:dyDescent="0.25">
      <c r="A8" s="10" t="s">
        <v>31</v>
      </c>
      <c r="B8" s="9">
        <v>73027</v>
      </c>
      <c r="C8" s="9">
        <v>1889559</v>
      </c>
      <c r="D8" s="9">
        <v>1876554</v>
      </c>
      <c r="E8" s="9">
        <f t="shared" si="0"/>
        <v>13005</v>
      </c>
      <c r="F8" s="9">
        <f t="shared" si="1"/>
        <v>1889559</v>
      </c>
      <c r="G8" s="9">
        <f t="shared" si="2"/>
        <v>13005</v>
      </c>
      <c r="H8" s="9">
        <f t="shared" si="8"/>
        <v>86032</v>
      </c>
      <c r="I8" s="9">
        <f t="shared" si="9"/>
        <v>672770.24</v>
      </c>
      <c r="J8" s="9">
        <f t="shared" si="3"/>
        <v>548432.77</v>
      </c>
      <c r="K8" s="9">
        <v>72725</v>
      </c>
      <c r="L8" s="16">
        <f t="shared" si="4"/>
        <v>0.95374833594407915</v>
      </c>
      <c r="M8" s="9">
        <f t="shared" si="10"/>
        <v>8603.2000000000007</v>
      </c>
      <c r="N8" s="8">
        <v>7.82</v>
      </c>
      <c r="O8" s="8">
        <v>7.51</v>
      </c>
      <c r="P8" s="8">
        <v>10</v>
      </c>
      <c r="Q8" s="8">
        <v>9.23</v>
      </c>
      <c r="R8" s="11">
        <v>0.72</v>
      </c>
      <c r="S8" s="11">
        <v>0.67469999999999997</v>
      </c>
      <c r="T8" s="9">
        <f t="shared" si="5"/>
        <v>14092920.539999999</v>
      </c>
      <c r="U8" s="9">
        <f t="shared" si="6"/>
        <v>14776351.380000001</v>
      </c>
      <c r="V8" s="8">
        <v>26</v>
      </c>
      <c r="W8" s="8">
        <v>26</v>
      </c>
      <c r="X8" s="8">
        <f t="shared" si="7"/>
        <v>0</v>
      </c>
    </row>
    <row r="9" spans="1:24" x14ac:dyDescent="0.25">
      <c r="A9" s="10" t="s">
        <v>32</v>
      </c>
      <c r="B9" s="9">
        <v>102323</v>
      </c>
      <c r="C9" s="9">
        <v>2473134</v>
      </c>
      <c r="D9" s="9">
        <v>2459994</v>
      </c>
      <c r="E9" s="9">
        <f t="shared" si="0"/>
        <v>13140</v>
      </c>
      <c r="F9" s="9">
        <f t="shared" si="1"/>
        <v>2473134</v>
      </c>
      <c r="G9" s="9">
        <f t="shared" si="2"/>
        <v>13140</v>
      </c>
      <c r="H9" s="9">
        <f t="shared" si="8"/>
        <v>115463</v>
      </c>
      <c r="I9" s="9">
        <f t="shared" si="9"/>
        <v>847498.41999999993</v>
      </c>
      <c r="J9" s="9">
        <f t="shared" si="3"/>
        <v>726493.29999999993</v>
      </c>
      <c r="K9" s="9">
        <v>99894</v>
      </c>
      <c r="L9" s="16">
        <f t="shared" si="4"/>
        <v>0.96216308088556213</v>
      </c>
      <c r="M9" s="9">
        <f t="shared" si="10"/>
        <v>11546.3</v>
      </c>
      <c r="N9" s="8">
        <v>7.34</v>
      </c>
      <c r="O9" s="8">
        <v>7.1</v>
      </c>
      <c r="P9" s="8">
        <v>10</v>
      </c>
      <c r="Q9" s="8">
        <v>11.71</v>
      </c>
      <c r="R9" s="11">
        <v>0.73</v>
      </c>
      <c r="S9" s="11">
        <v>0.69040000000000001</v>
      </c>
      <c r="T9" s="9">
        <f t="shared" si="5"/>
        <v>17465957.399999999</v>
      </c>
      <c r="U9" s="9">
        <f t="shared" si="6"/>
        <v>18152803.559999999</v>
      </c>
      <c r="V9" s="8">
        <v>26</v>
      </c>
      <c r="W9" s="8">
        <v>26</v>
      </c>
      <c r="X9" s="8">
        <f t="shared" si="7"/>
        <v>0</v>
      </c>
    </row>
    <row r="10" spans="1:24" ht="14.25" customHeight="1" x14ac:dyDescent="0.25">
      <c r="A10" s="10" t="s">
        <v>33</v>
      </c>
      <c r="B10" s="9">
        <v>121197</v>
      </c>
      <c r="C10" s="9">
        <v>3137675</v>
      </c>
      <c r="D10" s="9">
        <v>2853487</v>
      </c>
      <c r="E10" s="9">
        <f t="shared" si="0"/>
        <v>284188</v>
      </c>
      <c r="F10" s="9">
        <f t="shared" si="1"/>
        <v>3137675</v>
      </c>
      <c r="G10" s="9">
        <f t="shared" si="2"/>
        <v>284188</v>
      </c>
      <c r="H10" s="9">
        <f t="shared" si="8"/>
        <v>405385</v>
      </c>
      <c r="I10" s="9">
        <f t="shared" si="9"/>
        <v>3299833.9000000004</v>
      </c>
      <c r="J10" s="9">
        <f t="shared" si="3"/>
        <v>1011994.95</v>
      </c>
      <c r="K10" s="9">
        <v>133712</v>
      </c>
      <c r="L10" s="16">
        <f t="shared" si="4"/>
        <v>0.93288908442883911</v>
      </c>
      <c r="M10" s="9">
        <f t="shared" si="10"/>
        <v>40538.5</v>
      </c>
      <c r="N10" s="8">
        <v>8.14</v>
      </c>
      <c r="O10" s="8">
        <v>8.35</v>
      </c>
      <c r="P10" s="8">
        <v>10</v>
      </c>
      <c r="Q10" s="8">
        <v>9.5500000000000007</v>
      </c>
      <c r="R10" s="11">
        <v>0.72</v>
      </c>
      <c r="S10" s="11">
        <v>0.66439999999999999</v>
      </c>
      <c r="T10" s="9">
        <f t="shared" si="5"/>
        <v>23826616.449999999</v>
      </c>
      <c r="U10" s="9">
        <f t="shared" si="6"/>
        <v>25540674.5</v>
      </c>
      <c r="V10" s="8">
        <v>26</v>
      </c>
      <c r="W10" s="8">
        <v>26</v>
      </c>
      <c r="X10" s="8">
        <f t="shared" si="7"/>
        <v>0</v>
      </c>
    </row>
    <row r="11" spans="1:24" ht="14.25" customHeight="1" thickBot="1" x14ac:dyDescent="0.3">
      <c r="A11" s="21" t="s">
        <v>34</v>
      </c>
      <c r="B11" s="22">
        <v>41600</v>
      </c>
      <c r="C11" s="22">
        <v>48509</v>
      </c>
      <c r="D11" s="22">
        <v>359107</v>
      </c>
      <c r="E11" s="9">
        <f t="shared" si="0"/>
        <v>-310598</v>
      </c>
      <c r="F11" s="9">
        <f t="shared" si="1"/>
        <v>48509</v>
      </c>
      <c r="G11" s="9">
        <f t="shared" si="2"/>
        <v>-310598</v>
      </c>
      <c r="H11" s="9">
        <f t="shared" si="8"/>
        <v>-268998</v>
      </c>
      <c r="I11" s="9">
        <f t="shared" si="9"/>
        <v>-2063214.66</v>
      </c>
      <c r="J11" s="9">
        <f t="shared" si="3"/>
        <v>213824</v>
      </c>
      <c r="K11" s="9">
        <v>67687</v>
      </c>
      <c r="L11" s="16">
        <f t="shared" si="4"/>
        <v>4.9610008793378926</v>
      </c>
      <c r="M11" s="9">
        <f t="shared" si="10"/>
        <v>-26899.8</v>
      </c>
      <c r="N11" s="18">
        <v>7.67</v>
      </c>
      <c r="O11" s="18">
        <v>5.14</v>
      </c>
      <c r="P11" s="18">
        <v>10</v>
      </c>
      <c r="Q11" s="18">
        <v>8.2799999999999994</v>
      </c>
      <c r="R11" s="19">
        <v>0.63</v>
      </c>
      <c r="S11" s="19">
        <v>0.17430000000000001</v>
      </c>
      <c r="T11" s="9">
        <f t="shared" si="5"/>
        <v>1845809.98</v>
      </c>
      <c r="U11" s="9">
        <f t="shared" si="6"/>
        <v>372064.02999999997</v>
      </c>
      <c r="V11" s="18">
        <v>26</v>
      </c>
      <c r="W11" s="18">
        <v>26</v>
      </c>
      <c r="X11" s="8">
        <f t="shared" si="7"/>
        <v>0</v>
      </c>
    </row>
    <row r="12" spans="1:24" ht="27.75" customHeight="1" thickTop="1" thickBot="1" x14ac:dyDescent="0.3">
      <c r="A12" s="6" t="s">
        <v>35</v>
      </c>
      <c r="B12" s="7">
        <f t="shared" ref="B12:G12" si="11">SUM(B4:B11)</f>
        <v>573951</v>
      </c>
      <c r="C12" s="7">
        <f t="shared" si="11"/>
        <v>12671947.5</v>
      </c>
      <c r="D12" s="7">
        <f t="shared" si="11"/>
        <v>12578022</v>
      </c>
      <c r="E12" s="7">
        <f t="shared" si="11"/>
        <v>93925.5</v>
      </c>
      <c r="F12" s="7">
        <f t="shared" si="11"/>
        <v>12671947.5</v>
      </c>
      <c r="G12" s="7">
        <f t="shared" si="11"/>
        <v>93925.5</v>
      </c>
      <c r="H12" s="7">
        <f t="shared" si="8"/>
        <v>667876.5</v>
      </c>
      <c r="I12" s="7">
        <f t="shared" si="9"/>
        <v>5222794.2300000004</v>
      </c>
      <c r="J12" s="7">
        <f t="shared" si="3"/>
        <v>4164014.5050000004</v>
      </c>
      <c r="K12" s="7">
        <f>SUM(K4:K11)</f>
        <v>618014</v>
      </c>
      <c r="L12" s="12">
        <f t="shared" si="4"/>
        <v>0.92087280730025489</v>
      </c>
      <c r="M12" s="7">
        <f t="shared" si="10"/>
        <v>66787.649999999994</v>
      </c>
      <c r="N12" s="6">
        <v>7.82</v>
      </c>
      <c r="O12" s="6">
        <f>AVERAGE(O4:O11)</f>
        <v>7.2550000000000008</v>
      </c>
      <c r="P12" s="6">
        <v>10</v>
      </c>
      <c r="Q12" s="6">
        <f>AVERAGE(Q4:Q11)</f>
        <v>9.8362500000000015</v>
      </c>
      <c r="R12" s="12">
        <v>0.71509999999999996</v>
      </c>
      <c r="S12" s="12">
        <f>AVERAGE(S4:S11)</f>
        <v>0.61141249999999991</v>
      </c>
      <c r="T12" s="7">
        <f t="shared" si="5"/>
        <v>91253549.610000014</v>
      </c>
      <c r="U12" s="7">
        <f t="shared" si="6"/>
        <v>99094629.450000003</v>
      </c>
      <c r="V12" s="6">
        <v>26</v>
      </c>
      <c r="W12" s="6">
        <f>W11</f>
        <v>26</v>
      </c>
      <c r="X12" s="6">
        <f t="shared" si="7"/>
        <v>0</v>
      </c>
    </row>
    <row r="13" spans="1:24" ht="15.75" customHeight="1" thickTop="1" x14ac:dyDescent="0.25">
      <c r="A13" s="10" t="s">
        <v>36</v>
      </c>
      <c r="B13" s="9">
        <v>118025</v>
      </c>
      <c r="C13" s="9">
        <v>3254550</v>
      </c>
      <c r="D13" s="9">
        <v>3272175</v>
      </c>
      <c r="E13" s="9">
        <f>C13-D13</f>
        <v>-17625</v>
      </c>
      <c r="F13" s="9">
        <f>C13*W13/V13</f>
        <v>3254550</v>
      </c>
      <c r="G13" s="9">
        <f>F13-D13</f>
        <v>-17625</v>
      </c>
      <c r="H13" s="9">
        <f t="shared" si="8"/>
        <v>100400</v>
      </c>
      <c r="I13" s="9">
        <f t="shared" si="9"/>
        <v>423688</v>
      </c>
      <c r="J13" s="9">
        <f t="shared" si="3"/>
        <v>452035.75</v>
      </c>
      <c r="K13" s="9">
        <v>110510</v>
      </c>
      <c r="L13" s="16">
        <f t="shared" si="4"/>
        <v>0.91249794946207641</v>
      </c>
      <c r="M13" s="9">
        <f t="shared" si="10"/>
        <v>10040</v>
      </c>
      <c r="N13" s="8">
        <v>4.22</v>
      </c>
      <c r="O13" s="8">
        <v>3.83</v>
      </c>
      <c r="P13" s="8">
        <v>10</v>
      </c>
      <c r="Q13" s="8">
        <v>9.7200000000000006</v>
      </c>
      <c r="R13" s="11">
        <v>0.8</v>
      </c>
      <c r="S13" s="11">
        <v>0.74629999999999996</v>
      </c>
      <c r="T13" s="9">
        <f t="shared" si="5"/>
        <v>12532430.25</v>
      </c>
      <c r="U13" s="9">
        <f t="shared" si="6"/>
        <v>13734201</v>
      </c>
      <c r="V13" s="8">
        <v>26</v>
      </c>
      <c r="W13" s="8">
        <v>26</v>
      </c>
      <c r="X13" s="8">
        <f t="shared" si="7"/>
        <v>0</v>
      </c>
    </row>
    <row r="14" spans="1:24" x14ac:dyDescent="0.25">
      <c r="C14" s="1"/>
    </row>
    <row r="15" spans="1:24" x14ac:dyDescent="0.25">
      <c r="C15" s="2"/>
      <c r="D15" s="2"/>
      <c r="E15" s="1"/>
      <c r="H15" s="2"/>
      <c r="L15" s="1"/>
    </row>
    <row r="16" spans="1:24" ht="15.75" customHeight="1" thickBot="1" x14ac:dyDescent="0.3">
      <c r="A16" s="5" t="s">
        <v>37</v>
      </c>
      <c r="M16" s="1"/>
    </row>
    <row r="17" spans="1:13" ht="61.5" customHeight="1" thickTop="1" thickBot="1" x14ac:dyDescent="0.3">
      <c r="A17" s="6" t="s">
        <v>38</v>
      </c>
      <c r="B17" s="6" t="s">
        <v>39</v>
      </c>
      <c r="C17" s="6" t="s">
        <v>40</v>
      </c>
      <c r="D17" s="6" t="s">
        <v>41</v>
      </c>
      <c r="E17" s="6" t="s">
        <v>42</v>
      </c>
      <c r="F17" s="6" t="s">
        <v>43</v>
      </c>
      <c r="J17" s="1"/>
    </row>
    <row r="18" spans="1:13" ht="15.75" customHeight="1" thickTop="1" x14ac:dyDescent="0.25">
      <c r="A18" s="13">
        <f>C12</f>
        <v>12671947.5</v>
      </c>
      <c r="B18" s="13">
        <f>D12</f>
        <v>12578022</v>
      </c>
      <c r="C18" s="13">
        <f>QUOTIENT(B12,10000)*10000</f>
        <v>570000</v>
      </c>
      <c r="D18" s="13">
        <f t="shared" ref="D18:D23" si="12">C18*$X$12</f>
        <v>0</v>
      </c>
      <c r="E18" s="13">
        <f t="shared" ref="E18:E23" si="13">$D$12+D18</f>
        <v>12578022</v>
      </c>
      <c r="F18" s="13">
        <f t="shared" ref="F18:F23" si="14">$C$12-E18</f>
        <v>93925.5</v>
      </c>
      <c r="M18" s="1"/>
    </row>
    <row r="19" spans="1:13" x14ac:dyDescent="0.25">
      <c r="A19" s="15" t="s">
        <v>44</v>
      </c>
      <c r="B19" s="14"/>
      <c r="C19" s="13">
        <f>C18+35000</f>
        <v>605000</v>
      </c>
      <c r="D19" s="13">
        <f t="shared" si="12"/>
        <v>0</v>
      </c>
      <c r="E19" s="13">
        <f t="shared" si="13"/>
        <v>12578022</v>
      </c>
      <c r="F19" s="13">
        <f t="shared" si="14"/>
        <v>93925.5</v>
      </c>
      <c r="M19" s="1"/>
    </row>
    <row r="20" spans="1:13" x14ac:dyDescent="0.25">
      <c r="A20" s="15" t="s">
        <v>44</v>
      </c>
      <c r="B20" s="14"/>
      <c r="C20" s="13">
        <f>C19+35000</f>
        <v>640000</v>
      </c>
      <c r="D20" s="13">
        <f t="shared" si="12"/>
        <v>0</v>
      </c>
      <c r="E20" s="13">
        <f t="shared" si="13"/>
        <v>12578022</v>
      </c>
      <c r="F20" s="13">
        <f t="shared" si="14"/>
        <v>93925.5</v>
      </c>
    </row>
    <row r="21" spans="1:13" x14ac:dyDescent="0.25">
      <c r="A21" s="15" t="s">
        <v>44</v>
      </c>
      <c r="B21" s="14"/>
      <c r="C21" s="13">
        <f>C20+35000</f>
        <v>675000</v>
      </c>
      <c r="D21" s="13">
        <f t="shared" si="12"/>
        <v>0</v>
      </c>
      <c r="E21" s="13">
        <f t="shared" si="13"/>
        <v>12578022</v>
      </c>
      <c r="F21" s="13">
        <f t="shared" si="14"/>
        <v>93925.5</v>
      </c>
    </row>
    <row r="22" spans="1:13" x14ac:dyDescent="0.25">
      <c r="A22" s="15" t="s">
        <v>44</v>
      </c>
      <c r="B22" s="14"/>
      <c r="C22" s="13">
        <f>C21+35000</f>
        <v>710000</v>
      </c>
      <c r="D22" s="13">
        <f t="shared" si="12"/>
        <v>0</v>
      </c>
      <c r="E22" s="13">
        <f t="shared" si="13"/>
        <v>12578022</v>
      </c>
      <c r="F22" s="13">
        <f t="shared" si="14"/>
        <v>93925.5</v>
      </c>
    </row>
    <row r="23" spans="1:13" x14ac:dyDescent="0.25">
      <c r="A23" s="15" t="s">
        <v>44</v>
      </c>
      <c r="B23" s="14"/>
      <c r="C23" s="13">
        <f>C22+35000</f>
        <v>745000</v>
      </c>
      <c r="D23" s="13">
        <f t="shared" si="12"/>
        <v>0</v>
      </c>
      <c r="E23" s="13">
        <f t="shared" si="13"/>
        <v>12578022</v>
      </c>
      <c r="F23" s="13">
        <f t="shared" si="14"/>
        <v>93925.5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6D54-C72C-475E-92D3-BF933422D696}">
  <sheetPr>
    <pageSetUpPr fitToPage="1"/>
  </sheetPr>
  <dimension ref="A1:Q12"/>
  <sheetViews>
    <sheetView workbookViewId="0">
      <selection activeCell="H3" sqref="H3"/>
    </sheetView>
  </sheetViews>
  <sheetFormatPr defaultRowHeight="15" x14ac:dyDescent="0.25"/>
  <cols>
    <col min="1" max="1" width="11.5703125" customWidth="1"/>
    <col min="2" max="2" width="10.5703125" customWidth="1"/>
    <col min="3" max="3" width="10.7109375" bestFit="1" customWidth="1"/>
    <col min="4" max="4" width="11.140625" customWidth="1"/>
    <col min="5" max="5" width="10.85546875" customWidth="1"/>
    <col min="6" max="6" width="12.42578125" customWidth="1"/>
    <col min="7" max="7" width="10.140625" customWidth="1"/>
    <col min="15" max="15" width="11.42578125" customWidth="1"/>
    <col min="16" max="16" width="13" customWidth="1"/>
  </cols>
  <sheetData>
    <row r="1" spans="1:17" ht="29.25" customHeight="1" thickBot="1" x14ac:dyDescent="0.6">
      <c r="A1" s="20" t="s">
        <v>0</v>
      </c>
    </row>
    <row r="2" spans="1:17" ht="76.5" customHeight="1" thickTop="1" thickBot="1" x14ac:dyDescent="0.3">
      <c r="A2" s="23" t="s">
        <v>3</v>
      </c>
      <c r="B2" s="23" t="s">
        <v>5</v>
      </c>
      <c r="C2" s="23" t="s">
        <v>6</v>
      </c>
      <c r="D2" s="23" t="s">
        <v>7</v>
      </c>
      <c r="E2" s="23" t="s">
        <v>8</v>
      </c>
      <c r="F2" s="23" t="s">
        <v>10</v>
      </c>
      <c r="G2" s="23" t="s">
        <v>11</v>
      </c>
      <c r="H2" s="23" t="s">
        <v>14</v>
      </c>
      <c r="I2" s="23" t="s">
        <v>16</v>
      </c>
      <c r="J2" s="23" t="s">
        <v>17</v>
      </c>
      <c r="K2" s="23" t="s">
        <v>18</v>
      </c>
      <c r="L2" s="23" t="s">
        <v>19</v>
      </c>
      <c r="M2" s="23" t="s">
        <v>20</v>
      </c>
      <c r="N2" s="23" t="s">
        <v>21</v>
      </c>
      <c r="O2" s="23" t="s">
        <v>22</v>
      </c>
      <c r="P2" s="23" t="s">
        <v>23</v>
      </c>
      <c r="Q2" s="23" t="s">
        <v>24</v>
      </c>
    </row>
    <row r="3" spans="1:17" ht="15.75" customHeight="1" thickTop="1" x14ac:dyDescent="0.25">
      <c r="A3" s="10" t="s">
        <v>27</v>
      </c>
      <c r="B3" s="9">
        <v>2476465.5</v>
      </c>
      <c r="C3" s="9">
        <v>2428015</v>
      </c>
      <c r="D3" s="9">
        <v>48450.5</v>
      </c>
      <c r="E3" s="9">
        <v>2476465.5</v>
      </c>
      <c r="F3" s="9">
        <v>157672.5</v>
      </c>
      <c r="G3" s="9">
        <v>1154588.2</v>
      </c>
      <c r="H3" s="16">
        <v>0.98893078808179069</v>
      </c>
      <c r="I3" s="8">
        <v>7.6</v>
      </c>
      <c r="J3" s="8">
        <v>7.71</v>
      </c>
      <c r="K3" s="8">
        <v>10</v>
      </c>
      <c r="L3" s="8">
        <v>10.47</v>
      </c>
      <c r="M3" s="11">
        <v>0.72</v>
      </c>
      <c r="N3" s="11">
        <v>0.70879999999999999</v>
      </c>
      <c r="O3" s="9">
        <v>18366270.620000001</v>
      </c>
      <c r="P3" s="9">
        <v>18474392.780000001</v>
      </c>
      <c r="Q3" s="8">
        <v>26</v>
      </c>
    </row>
    <row r="4" spans="1:17" x14ac:dyDescent="0.25">
      <c r="A4" s="10" t="s">
        <v>29</v>
      </c>
      <c r="B4" s="9">
        <v>1128363</v>
      </c>
      <c r="C4" s="9">
        <v>1087164</v>
      </c>
      <c r="D4" s="9">
        <v>41199</v>
      </c>
      <c r="E4" s="9">
        <v>1128363</v>
      </c>
      <c r="F4" s="9">
        <v>90100</v>
      </c>
      <c r="G4" s="9">
        <v>584749</v>
      </c>
      <c r="H4" s="16">
        <v>0.95309580344413392</v>
      </c>
      <c r="I4" s="8">
        <v>6.49</v>
      </c>
      <c r="J4" s="8">
        <v>6.42</v>
      </c>
      <c r="K4" s="8">
        <v>10</v>
      </c>
      <c r="L4" s="8">
        <v>9.4700000000000006</v>
      </c>
      <c r="M4" s="11">
        <v>0.73</v>
      </c>
      <c r="N4" s="11">
        <v>0.67390000000000005</v>
      </c>
      <c r="O4" s="9">
        <v>6979592.8799999999</v>
      </c>
      <c r="P4" s="9">
        <v>7323075.8700000001</v>
      </c>
      <c r="Q4" s="8">
        <v>26</v>
      </c>
    </row>
    <row r="5" spans="1:17" x14ac:dyDescent="0.25">
      <c r="A5" s="10" t="s">
        <v>30</v>
      </c>
      <c r="B5" s="9">
        <v>1518242</v>
      </c>
      <c r="C5" s="9">
        <v>1513701</v>
      </c>
      <c r="D5" s="9">
        <v>4541</v>
      </c>
      <c r="E5" s="9">
        <v>1518242</v>
      </c>
      <c r="F5" s="9">
        <v>82222</v>
      </c>
      <c r="G5" s="9">
        <v>762197.94</v>
      </c>
      <c r="H5" s="16">
        <v>0.99270695208637005</v>
      </c>
      <c r="I5" s="8">
        <v>9.27</v>
      </c>
      <c r="J5" s="8">
        <v>9.23</v>
      </c>
      <c r="K5" s="8">
        <v>10</v>
      </c>
      <c r="L5" s="8">
        <v>9</v>
      </c>
      <c r="M5" s="11">
        <v>0.65</v>
      </c>
      <c r="N5" s="11">
        <v>0.57740000000000002</v>
      </c>
      <c r="O5" s="9">
        <v>13971460.23</v>
      </c>
      <c r="P5" s="9">
        <v>14074103.34</v>
      </c>
      <c r="Q5" s="8">
        <v>26</v>
      </c>
    </row>
    <row r="6" spans="1:17" x14ac:dyDescent="0.25">
      <c r="A6" s="10" t="s">
        <v>31</v>
      </c>
      <c r="B6" s="9">
        <v>1889559</v>
      </c>
      <c r="C6" s="9">
        <v>1876554</v>
      </c>
      <c r="D6" s="9">
        <v>13005</v>
      </c>
      <c r="E6" s="9">
        <v>1889559</v>
      </c>
      <c r="F6" s="9">
        <v>86032</v>
      </c>
      <c r="G6" s="9">
        <v>672770.24</v>
      </c>
      <c r="H6" s="16">
        <v>0.95374833594407915</v>
      </c>
      <c r="I6" s="8">
        <v>7.82</v>
      </c>
      <c r="J6" s="8">
        <v>7.51</v>
      </c>
      <c r="K6" s="8">
        <v>10</v>
      </c>
      <c r="L6" s="8">
        <v>9.23</v>
      </c>
      <c r="M6" s="11">
        <v>0.72</v>
      </c>
      <c r="N6" s="11">
        <v>0.67469999999999997</v>
      </c>
      <c r="O6" s="9">
        <v>14092920.539999999</v>
      </c>
      <c r="P6" s="9">
        <v>14776351.380000001</v>
      </c>
      <c r="Q6" s="8">
        <v>26</v>
      </c>
    </row>
    <row r="7" spans="1:17" x14ac:dyDescent="0.25">
      <c r="A7" s="10" t="s">
        <v>32</v>
      </c>
      <c r="B7" s="9">
        <v>2473134</v>
      </c>
      <c r="C7" s="9">
        <v>2459994</v>
      </c>
      <c r="D7" s="9">
        <v>13140</v>
      </c>
      <c r="E7" s="9">
        <v>2473134</v>
      </c>
      <c r="F7" s="9">
        <v>115463</v>
      </c>
      <c r="G7" s="9">
        <v>847498.41999999993</v>
      </c>
      <c r="H7" s="16">
        <v>0.96216308088556213</v>
      </c>
      <c r="I7" s="8">
        <v>7.34</v>
      </c>
      <c r="J7" s="8">
        <v>7.1</v>
      </c>
      <c r="K7" s="8">
        <v>10</v>
      </c>
      <c r="L7" s="8">
        <v>11.71</v>
      </c>
      <c r="M7" s="11">
        <v>0.73</v>
      </c>
      <c r="N7" s="11">
        <v>0.69040000000000001</v>
      </c>
      <c r="O7" s="9">
        <v>17465957.399999999</v>
      </c>
      <c r="P7" s="9">
        <v>18152803.559999999</v>
      </c>
      <c r="Q7" s="8">
        <v>26</v>
      </c>
    </row>
    <row r="8" spans="1:17" ht="14.25" customHeight="1" x14ac:dyDescent="0.25">
      <c r="A8" s="10" t="s">
        <v>33</v>
      </c>
      <c r="B8" s="9">
        <v>3137675</v>
      </c>
      <c r="C8" s="9">
        <v>2853487</v>
      </c>
      <c r="D8" s="9">
        <v>284188</v>
      </c>
      <c r="E8" s="9">
        <v>3137675</v>
      </c>
      <c r="F8" s="9">
        <v>405385</v>
      </c>
      <c r="G8" s="9">
        <v>3299833.9000000004</v>
      </c>
      <c r="H8" s="16">
        <v>0.93288908442883911</v>
      </c>
      <c r="I8" s="8">
        <v>8.14</v>
      </c>
      <c r="J8" s="8">
        <v>8.35</v>
      </c>
      <c r="K8" s="8">
        <v>10</v>
      </c>
      <c r="L8" s="8">
        <v>9.5500000000000007</v>
      </c>
      <c r="M8" s="11">
        <v>0.72</v>
      </c>
      <c r="N8" s="11">
        <v>0.66439999999999999</v>
      </c>
      <c r="O8" s="9">
        <v>23826616.449999999</v>
      </c>
      <c r="P8" s="9">
        <v>25540674.5</v>
      </c>
      <c r="Q8" s="8">
        <v>26</v>
      </c>
    </row>
    <row r="9" spans="1:17" ht="14.25" customHeight="1" thickBot="1" x14ac:dyDescent="0.3">
      <c r="A9" s="21" t="s">
        <v>34</v>
      </c>
      <c r="B9" s="22">
        <v>48509</v>
      </c>
      <c r="C9" s="22">
        <v>359107</v>
      </c>
      <c r="D9" s="9">
        <v>-310598</v>
      </c>
      <c r="E9" s="9">
        <v>48509</v>
      </c>
      <c r="F9" s="9">
        <v>-268998</v>
      </c>
      <c r="G9" s="9">
        <v>-2063214.66</v>
      </c>
      <c r="H9" s="16">
        <v>4.9610008793378926</v>
      </c>
      <c r="I9" s="18">
        <v>7.67</v>
      </c>
      <c r="J9" s="18">
        <v>5.14</v>
      </c>
      <c r="K9" s="18">
        <v>10</v>
      </c>
      <c r="L9" s="18">
        <v>8.2799999999999994</v>
      </c>
      <c r="M9" s="19">
        <v>0.63</v>
      </c>
      <c r="N9" s="19">
        <v>0.17430000000000001</v>
      </c>
      <c r="O9" s="9">
        <v>1845809.98</v>
      </c>
      <c r="P9" s="9">
        <v>372064.02999999997</v>
      </c>
      <c r="Q9" s="18">
        <v>26</v>
      </c>
    </row>
    <row r="10" spans="1:17" ht="27.75" customHeight="1" thickTop="1" thickBot="1" x14ac:dyDescent="0.3">
      <c r="A10" s="24" t="s">
        <v>35</v>
      </c>
      <c r="B10" s="25">
        <v>12671947.5</v>
      </c>
      <c r="C10" s="25">
        <v>12578022</v>
      </c>
      <c r="D10" s="25">
        <v>93925.5</v>
      </c>
      <c r="E10" s="25">
        <v>12671947.5</v>
      </c>
      <c r="F10" s="25">
        <v>667876.5</v>
      </c>
      <c r="G10" s="25">
        <v>5222794.2300000004</v>
      </c>
      <c r="H10" s="26">
        <v>0.92087280730025489</v>
      </c>
      <c r="I10" s="24">
        <v>7.82</v>
      </c>
      <c r="J10" s="24">
        <v>7.2550000000000008</v>
      </c>
      <c r="K10" s="24">
        <v>10</v>
      </c>
      <c r="L10" s="24">
        <v>9.8362500000000015</v>
      </c>
      <c r="M10" s="26">
        <v>0.71509999999999996</v>
      </c>
      <c r="N10" s="26">
        <v>0.61141249999999991</v>
      </c>
      <c r="O10" s="25">
        <v>91253549.610000014</v>
      </c>
      <c r="P10" s="25">
        <v>99094629.450000003</v>
      </c>
      <c r="Q10" s="24">
        <v>26</v>
      </c>
    </row>
    <row r="11" spans="1:17" ht="15.75" customHeight="1" thickTop="1" x14ac:dyDescent="0.25">
      <c r="A11" s="10" t="s">
        <v>36</v>
      </c>
      <c r="B11" s="9">
        <v>3254550</v>
      </c>
      <c r="C11" s="9">
        <v>3272175</v>
      </c>
      <c r="D11" s="9">
        <v>-17625</v>
      </c>
      <c r="E11" s="9">
        <v>3254550</v>
      </c>
      <c r="F11" s="9">
        <v>100400</v>
      </c>
      <c r="G11" s="9">
        <v>423688</v>
      </c>
      <c r="H11" s="16">
        <v>0.91249794946207641</v>
      </c>
      <c r="I11" s="8">
        <v>4.22</v>
      </c>
      <c r="J11" s="8">
        <v>3.83</v>
      </c>
      <c r="K11" s="8">
        <v>10</v>
      </c>
      <c r="L11" s="8">
        <v>9.7200000000000006</v>
      </c>
      <c r="M11" s="11">
        <v>0.8</v>
      </c>
      <c r="N11" s="11">
        <v>0.74629999999999996</v>
      </c>
      <c r="O11" s="9">
        <v>12532430.25</v>
      </c>
      <c r="P11" s="9">
        <v>13734201</v>
      </c>
      <c r="Q11" s="8">
        <v>26</v>
      </c>
    </row>
    <row r="12" spans="1:17" x14ac:dyDescent="0.25">
      <c r="B12" s="1"/>
    </row>
  </sheetData>
  <pageMargins left="0.25" right="0.25" top="0.75" bottom="0.75" header="0.3" footer="0.3"/>
  <pageSetup scale="7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Mahfuzur Rahman</dc:creator>
  <cp:lastModifiedBy>Md. Mahfuzur Rahman</cp:lastModifiedBy>
  <cp:lastPrinted>2025-12-06T12:10:29Z</cp:lastPrinted>
  <dcterms:created xsi:type="dcterms:W3CDTF">2015-06-05T18:17:20Z</dcterms:created>
  <dcterms:modified xsi:type="dcterms:W3CDTF">2025-12-11T04:48:16Z</dcterms:modified>
</cp:coreProperties>
</file>