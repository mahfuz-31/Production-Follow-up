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8. Aug\"/>
    </mc:Choice>
  </mc:AlternateContent>
  <xr:revisionPtr revIDLastSave="0" documentId="13_ncr:1_{368D9F40-DCD3-4FAB-B6F4-B20EF8F169B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 s="1"/>
  <c r="E18" i="1" s="1"/>
  <c r="B18" i="1"/>
  <c r="X13" i="1"/>
  <c r="T13" i="1"/>
  <c r="J13" i="1"/>
  <c r="F13" i="1"/>
  <c r="G13" i="1" s="1"/>
  <c r="E13" i="1"/>
  <c r="H13" i="1" s="1"/>
  <c r="X12" i="1"/>
  <c r="T12" i="1"/>
  <c r="J12" i="1"/>
  <c r="F12" i="1"/>
  <c r="G12" i="1" s="1"/>
  <c r="E12" i="1"/>
  <c r="H12" i="1" s="1"/>
  <c r="X11" i="1"/>
  <c r="T11" i="1"/>
  <c r="J11" i="1"/>
  <c r="C11" i="1"/>
  <c r="X10" i="1"/>
  <c r="T10" i="1"/>
  <c r="J10" i="1"/>
  <c r="H10" i="1"/>
  <c r="M10" i="1" s="1"/>
  <c r="F10" i="1"/>
  <c r="G10" i="1" s="1"/>
  <c r="E10" i="1"/>
  <c r="X9" i="1"/>
  <c r="T9" i="1"/>
  <c r="J9" i="1"/>
  <c r="G9" i="1"/>
  <c r="F9" i="1"/>
  <c r="U9" i="1" s="1"/>
  <c r="L9" i="1" s="1"/>
  <c r="E9" i="1"/>
  <c r="H9" i="1" s="1"/>
  <c r="X8" i="1"/>
  <c r="T8" i="1"/>
  <c r="J8" i="1"/>
  <c r="H8" i="1"/>
  <c r="I8" i="1" s="1"/>
  <c r="F8" i="1"/>
  <c r="G8" i="1" s="1"/>
  <c r="E8" i="1"/>
  <c r="X7" i="1"/>
  <c r="T7" i="1"/>
  <c r="L7" i="1" s="1"/>
  <c r="J7" i="1"/>
  <c r="G7" i="1"/>
  <c r="F7" i="1"/>
  <c r="U7" i="1" s="1"/>
  <c r="E7" i="1"/>
  <c r="H7" i="1" s="1"/>
  <c r="X6" i="1"/>
  <c r="T6" i="1"/>
  <c r="J6" i="1"/>
  <c r="H6" i="1"/>
  <c r="M6" i="1" s="1"/>
  <c r="F6" i="1"/>
  <c r="G6" i="1" s="1"/>
  <c r="E6" i="1"/>
  <c r="X5" i="1"/>
  <c r="T5" i="1"/>
  <c r="J5" i="1"/>
  <c r="G5" i="1"/>
  <c r="F5" i="1"/>
  <c r="U5" i="1" s="1"/>
  <c r="L5" i="1" s="1"/>
  <c r="E5" i="1"/>
  <c r="H5" i="1" s="1"/>
  <c r="X4" i="1"/>
  <c r="T4" i="1"/>
  <c r="J4" i="1"/>
  <c r="H4" i="1"/>
  <c r="I4" i="1" s="1"/>
  <c r="F4" i="1"/>
  <c r="F11" i="1" s="1"/>
  <c r="U11" i="1" s="1"/>
  <c r="L11" i="1" s="1"/>
  <c r="E4" i="1"/>
  <c r="E11" i="1" s="1"/>
  <c r="H11" i="1" s="1"/>
  <c r="I5" i="1" l="1"/>
  <c r="M5" i="1"/>
  <c r="M7" i="1"/>
  <c r="I7" i="1"/>
  <c r="I9" i="1"/>
  <c r="M9" i="1"/>
  <c r="M11" i="1"/>
  <c r="I11" i="1"/>
  <c r="L6" i="1"/>
  <c r="M12" i="1"/>
  <c r="I12" i="1"/>
  <c r="I13" i="1"/>
  <c r="M13" i="1"/>
  <c r="C19" i="1"/>
  <c r="U4" i="1"/>
  <c r="L4" i="1" s="1"/>
  <c r="U8" i="1"/>
  <c r="L8" i="1" s="1"/>
  <c r="U13" i="1"/>
  <c r="L13" i="1" s="1"/>
  <c r="G4" i="1"/>
  <c r="G11" i="1" s="1"/>
  <c r="I6" i="1"/>
  <c r="I10" i="1"/>
  <c r="U12" i="1"/>
  <c r="L12" i="1" s="1"/>
  <c r="M4" i="1"/>
  <c r="U6" i="1"/>
  <c r="M8" i="1"/>
  <c r="U10" i="1"/>
  <c r="L10" i="1" s="1"/>
  <c r="A18" i="1"/>
  <c r="F18" i="1"/>
  <c r="D19" i="1" l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<sst xmlns="http://schemas.openxmlformats.org/spreadsheetml/2006/main" count="49" uniqueCount="45">
  <si>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</si>
  <si>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</si>
  <si>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30-Aug-25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</si>
  <si>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</si>
  <si>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</si>
  <si>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</si>
  <si>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</si>
  <si>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</si>
  <si>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</si>
  <si>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</si>
  <si>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</si>
  <si>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</si>
  <si>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</si>
  <si>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</si>
  <si>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</si>
  <si>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</si>
  <si>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</si>
  <si>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</si>
  <si>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</si>
  <si>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</si>
  <si>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</si>
  <si>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</si>
  <si>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</si>
  <si>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</si>
  <si>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</si>
  <si>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</si>
  <si>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</si>
  <si>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</si>
  <si>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</si>
  <si>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</si>
  <si>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</si>
  <si>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</si>
  <si>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</si>
  <si>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</si>
  <si>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GMT TOTAL:</t>
  </si>
  <si>
    <t>LINGERIE</t>
  </si>
  <si>
    <t>GTAL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</si>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</sst>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H9" sqref="H9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1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64800</v>
      </c>
      <c r="C4" s="9">
        <v>1688592</v>
      </c>
      <c r="D4" s="9">
        <v>1520570</v>
      </c>
      <c r="E4" s="9">
        <f t="shared" ref="E4:E10" si="0">C4-D4</f>
        <v>168022</v>
      </c>
      <c r="F4" s="9">
        <f t="shared" ref="F4:F10" si="1">C4*W4/V4</f>
        <v>1621048.3200000001</v>
      </c>
      <c r="G4" s="9">
        <f t="shared" ref="G4:G10" si="2">F4-D4</f>
        <v>100478.32000000007</v>
      </c>
      <c r="H4" s="9">
        <f t="shared" ref="H4:H13" si="3">(E4+B4)/(X4+1)</f>
        <v>116411</v>
      </c>
      <c r="I4" s="9">
        <f t="shared" ref="I4:I13" si="4">H4*N4</f>
        <v>942929.1</v>
      </c>
      <c r="J4" s="9">
        <f t="shared" ref="J4:J13" si="5">B4*O4</f>
        <v>565056</v>
      </c>
      <c r="K4" s="9">
        <v>69215</v>
      </c>
      <c r="L4" s="16">
        <f t="shared" ref="L4:L13" si="6">T4/U4</f>
        <v>1.0098152463721597</v>
      </c>
      <c r="M4" s="9">
        <f t="shared" ref="M4:M13" si="7">H4/P4</f>
        <v>12934.555555555555</v>
      </c>
      <c r="N4" s="8">
        <v>8.1</v>
      </c>
      <c r="O4" s="8">
        <v>8.7200000000000006</v>
      </c>
      <c r="P4" s="8">
        <v>9</v>
      </c>
      <c r="Q4" s="8">
        <v>9.32</v>
      </c>
      <c r="R4" s="11">
        <v>0.68</v>
      </c>
      <c r="S4" s="11">
        <v>0.68730000000000002</v>
      </c>
      <c r="T4" s="9">
        <f t="shared" ref="T4:T13" si="8">O4*D4</f>
        <v>13259370.4</v>
      </c>
      <c r="U4" s="9">
        <f t="shared" ref="U4:U13" si="9">N4*F4</f>
        <v>13130491.391999999</v>
      </c>
      <c r="V4" s="8">
        <v>25</v>
      </c>
      <c r="W4" s="8">
        <v>24</v>
      </c>
      <c r="X4" s="8">
        <f t="shared" ref="X4:X13" si="10">V4-W4</f>
        <v>1</v>
      </c>
    </row>
    <row r="5" spans="1:24" x14ac:dyDescent="0.25">
      <c r="A5" s="10" t="s">
        <v>28</v>
      </c>
      <c r="B5" s="9">
        <v>9250</v>
      </c>
      <c r="C5" s="9">
        <v>206218</v>
      </c>
      <c r="D5" s="9">
        <v>225385</v>
      </c>
      <c r="E5" s="9">
        <f t="shared" si="0"/>
        <v>-19167</v>
      </c>
      <c r="F5" s="9">
        <f t="shared" si="1"/>
        <v>197969.28</v>
      </c>
      <c r="G5" s="9">
        <f t="shared" si="2"/>
        <v>-27415.72</v>
      </c>
      <c r="H5" s="9">
        <f t="shared" si="3"/>
        <v>-4958.5</v>
      </c>
      <c r="I5" s="9">
        <f t="shared" si="4"/>
        <v>-40163.85</v>
      </c>
      <c r="J5" s="9">
        <f t="shared" si="5"/>
        <v>54852.5</v>
      </c>
      <c r="K5" s="9">
        <v>9620</v>
      </c>
      <c r="L5" s="16">
        <f t="shared" si="6"/>
        <v>0.83348325683112856</v>
      </c>
      <c r="M5" s="17">
        <f t="shared" si="7"/>
        <v>-550.94444444444446</v>
      </c>
      <c r="N5" s="8">
        <v>8.1</v>
      </c>
      <c r="O5" s="8">
        <v>5.93</v>
      </c>
      <c r="P5" s="8">
        <v>9</v>
      </c>
      <c r="Q5" s="8">
        <v>8.24</v>
      </c>
      <c r="R5" s="11">
        <v>0.68</v>
      </c>
      <c r="S5" s="11">
        <v>0.71930000000000005</v>
      </c>
      <c r="T5" s="9">
        <f t="shared" si="8"/>
        <v>1336533.05</v>
      </c>
      <c r="U5" s="9">
        <f t="shared" si="9"/>
        <v>1603551.1679999998</v>
      </c>
      <c r="V5" s="8">
        <v>25</v>
      </c>
      <c r="W5" s="8">
        <v>24</v>
      </c>
      <c r="X5" s="8">
        <f t="shared" si="10"/>
        <v>1</v>
      </c>
    </row>
    <row r="6" spans="1:24" x14ac:dyDescent="0.25">
      <c r="A6" s="10" t="s">
        <v>29</v>
      </c>
      <c r="B6" s="9">
        <v>46767</v>
      </c>
      <c r="C6" s="9">
        <v>1226090</v>
      </c>
      <c r="D6" s="9">
        <v>958031</v>
      </c>
      <c r="E6" s="9">
        <f t="shared" si="0"/>
        <v>268059</v>
      </c>
      <c r="F6" s="9">
        <f t="shared" si="1"/>
        <v>1177046.3999999999</v>
      </c>
      <c r="G6" s="9">
        <f t="shared" si="2"/>
        <v>219015.39999999991</v>
      </c>
      <c r="H6" s="9">
        <f t="shared" si="3"/>
        <v>157413</v>
      </c>
      <c r="I6" s="9">
        <f t="shared" si="4"/>
        <v>1136521.8599999999</v>
      </c>
      <c r="J6" s="9">
        <f t="shared" si="5"/>
        <v>327369</v>
      </c>
      <c r="K6" s="9">
        <v>39579</v>
      </c>
      <c r="L6" s="16">
        <f t="shared" si="6"/>
        <v>0.78912685147126749</v>
      </c>
      <c r="M6" s="9">
        <f t="shared" si="7"/>
        <v>15741.3</v>
      </c>
      <c r="N6" s="8">
        <v>7.22</v>
      </c>
      <c r="O6" s="8">
        <v>7</v>
      </c>
      <c r="P6" s="8">
        <v>10</v>
      </c>
      <c r="Q6" s="8">
        <v>8.4499999999999993</v>
      </c>
      <c r="R6" s="11">
        <v>0.71799999999999997</v>
      </c>
      <c r="S6" s="11">
        <v>0.74719999999999998</v>
      </c>
      <c r="T6" s="9">
        <f t="shared" si="8"/>
        <v>6706217</v>
      </c>
      <c r="U6" s="9">
        <f t="shared" si="9"/>
        <v>8498275.0079999994</v>
      </c>
      <c r="V6" s="8">
        <v>25</v>
      </c>
      <c r="W6" s="8">
        <v>24</v>
      </c>
      <c r="X6" s="8">
        <f t="shared" si="10"/>
        <v>1</v>
      </c>
    </row>
    <row r="7" spans="1:24" x14ac:dyDescent="0.25">
      <c r="A7" s="10" t="s">
        <v>30</v>
      </c>
      <c r="B7" s="9">
        <v>63845</v>
      </c>
      <c r="C7" s="9">
        <v>1844988</v>
      </c>
      <c r="D7" s="9">
        <v>1731455</v>
      </c>
      <c r="E7" s="9">
        <f t="shared" si="0"/>
        <v>113533</v>
      </c>
      <c r="F7" s="9">
        <f t="shared" si="1"/>
        <v>1771188.48</v>
      </c>
      <c r="G7" s="9">
        <f t="shared" si="2"/>
        <v>39733.479999999981</v>
      </c>
      <c r="H7" s="9">
        <f t="shared" si="3"/>
        <v>88689</v>
      </c>
      <c r="I7" s="9">
        <f t="shared" si="4"/>
        <v>723702.24</v>
      </c>
      <c r="J7" s="9">
        <f t="shared" si="5"/>
        <v>489691.15</v>
      </c>
      <c r="K7" s="9">
        <v>70418</v>
      </c>
      <c r="L7" s="16">
        <f t="shared" si="6"/>
        <v>0.91886484308824201</v>
      </c>
      <c r="M7" s="9">
        <f t="shared" si="7"/>
        <v>11086.125</v>
      </c>
      <c r="N7" s="8">
        <v>8.16</v>
      </c>
      <c r="O7" s="8">
        <v>7.67</v>
      </c>
      <c r="P7" s="8">
        <v>8</v>
      </c>
      <c r="Q7" s="8">
        <v>8.42</v>
      </c>
      <c r="R7" s="11">
        <v>0.60299999999999998</v>
      </c>
      <c r="S7" s="11">
        <v>0.63119999999999998</v>
      </c>
      <c r="T7" s="9">
        <f t="shared" si="8"/>
        <v>13280259.85</v>
      </c>
      <c r="U7" s="9">
        <f t="shared" si="9"/>
        <v>14452897.9968</v>
      </c>
      <c r="V7" s="8">
        <v>25</v>
      </c>
      <c r="W7" s="8">
        <v>24</v>
      </c>
      <c r="X7" s="8">
        <f t="shared" si="10"/>
        <v>1</v>
      </c>
    </row>
    <row r="8" spans="1:24" x14ac:dyDescent="0.25">
      <c r="A8" s="10" t="s">
        <v>31</v>
      </c>
      <c r="B8" s="9">
        <v>73708</v>
      </c>
      <c r="C8" s="9">
        <v>2255336</v>
      </c>
      <c r="D8" s="9">
        <v>1774034</v>
      </c>
      <c r="E8" s="9">
        <f t="shared" si="0"/>
        <v>481302</v>
      </c>
      <c r="F8" s="9">
        <f t="shared" si="1"/>
        <v>2165122.56</v>
      </c>
      <c r="G8" s="9">
        <f t="shared" si="2"/>
        <v>391088.56000000006</v>
      </c>
      <c r="H8" s="9">
        <f t="shared" si="3"/>
        <v>277505</v>
      </c>
      <c r="I8" s="9">
        <f t="shared" si="4"/>
        <v>2028561.5499999998</v>
      </c>
      <c r="J8" s="9">
        <f t="shared" si="5"/>
        <v>509322.28</v>
      </c>
      <c r="K8" s="9">
        <v>81621</v>
      </c>
      <c r="L8" s="16">
        <f t="shared" si="6"/>
        <v>0.77453335302871307</v>
      </c>
      <c r="M8" s="9">
        <f t="shared" si="7"/>
        <v>27750.5</v>
      </c>
      <c r="N8" s="8">
        <v>7.31</v>
      </c>
      <c r="O8" s="8">
        <v>6.91</v>
      </c>
      <c r="P8" s="8">
        <v>10</v>
      </c>
      <c r="Q8" s="8">
        <v>8.85</v>
      </c>
      <c r="R8" s="11">
        <v>0.65</v>
      </c>
      <c r="S8" s="11">
        <v>0.65239999999999998</v>
      </c>
      <c r="T8" s="9">
        <f t="shared" si="8"/>
        <v>12258574.939999999</v>
      </c>
      <c r="U8" s="9">
        <f t="shared" si="9"/>
        <v>15827045.9136</v>
      </c>
      <c r="V8" s="8">
        <v>25</v>
      </c>
      <c r="W8" s="8">
        <v>24</v>
      </c>
      <c r="X8" s="8">
        <f t="shared" si="10"/>
        <v>1</v>
      </c>
    </row>
    <row r="9" spans="1:24" x14ac:dyDescent="0.25">
      <c r="A9" s="10" t="s">
        <v>32</v>
      </c>
      <c r="B9" s="9">
        <v>68895</v>
      </c>
      <c r="C9" s="9">
        <v>1365460</v>
      </c>
      <c r="D9" s="9">
        <v>1493740</v>
      </c>
      <c r="E9" s="9">
        <f t="shared" si="0"/>
        <v>-128280</v>
      </c>
      <c r="F9" s="9">
        <f t="shared" si="1"/>
        <v>1310841.6000000001</v>
      </c>
      <c r="G9" s="9">
        <f t="shared" si="2"/>
        <v>-182898.39999999991</v>
      </c>
      <c r="H9" s="9">
        <f t="shared" si="3"/>
        <v>-29692.5</v>
      </c>
      <c r="I9" s="9">
        <f t="shared" si="4"/>
        <v>-223287.59999999998</v>
      </c>
      <c r="J9" s="9">
        <f t="shared" si="5"/>
        <v>514645.64999999997</v>
      </c>
      <c r="K9" s="9">
        <v>72774</v>
      </c>
      <c r="L9" s="16">
        <f t="shared" si="6"/>
        <v>1.1319508154799987</v>
      </c>
      <c r="M9" s="9">
        <f t="shared" si="7"/>
        <v>-3711.5625</v>
      </c>
      <c r="N9" s="8">
        <v>7.52</v>
      </c>
      <c r="O9" s="8">
        <v>7.47</v>
      </c>
      <c r="P9" s="8">
        <v>8</v>
      </c>
      <c r="Q9" s="8">
        <v>8.39</v>
      </c>
      <c r="R9" s="11">
        <v>0.68</v>
      </c>
      <c r="S9" s="11">
        <v>0.64230000000000009</v>
      </c>
      <c r="T9" s="9">
        <f t="shared" si="8"/>
        <v>11158237.799999999</v>
      </c>
      <c r="U9" s="9">
        <f t="shared" si="9"/>
        <v>9857528.8320000004</v>
      </c>
      <c r="V9" s="8">
        <v>25</v>
      </c>
      <c r="W9" s="8">
        <v>24</v>
      </c>
      <c r="X9" s="8">
        <f t="shared" si="10"/>
        <v>1</v>
      </c>
    </row>
    <row r="10" spans="1:24" ht="14.25" customHeight="1" thickBot="1" x14ac:dyDescent="0.3">
      <c r="A10" s="10" t="s">
        <v>33</v>
      </c>
      <c r="B10" s="9">
        <v>95801</v>
      </c>
      <c r="C10" s="9">
        <v>2667920</v>
      </c>
      <c r="D10" s="9">
        <v>2149748</v>
      </c>
      <c r="E10" s="9">
        <f t="shared" si="0"/>
        <v>518172</v>
      </c>
      <c r="F10" s="9">
        <f t="shared" si="1"/>
        <v>2561203.2000000002</v>
      </c>
      <c r="G10" s="9">
        <f t="shared" si="2"/>
        <v>411455.20000000019</v>
      </c>
      <c r="H10" s="9">
        <f t="shared" si="3"/>
        <v>306986.5</v>
      </c>
      <c r="I10" s="9">
        <f t="shared" si="4"/>
        <v>2888742.9649999999</v>
      </c>
      <c r="J10" s="9">
        <f t="shared" si="5"/>
        <v>876579.15</v>
      </c>
      <c r="K10" s="9">
        <v>105155</v>
      </c>
      <c r="L10" s="16">
        <f t="shared" si="6"/>
        <v>0.81615940288882494</v>
      </c>
      <c r="M10" s="9">
        <f t="shared" si="7"/>
        <v>38373.3125</v>
      </c>
      <c r="N10" s="8">
        <v>9.41</v>
      </c>
      <c r="O10" s="8">
        <v>9.15</v>
      </c>
      <c r="P10" s="8">
        <v>8</v>
      </c>
      <c r="Q10" s="8">
        <v>8.51</v>
      </c>
      <c r="R10" s="11">
        <v>0.65300000000000002</v>
      </c>
      <c r="S10" s="11">
        <v>0.64729999999999999</v>
      </c>
      <c r="T10" s="9">
        <f t="shared" si="8"/>
        <v>19670194.199999999</v>
      </c>
      <c r="U10" s="9">
        <f t="shared" si="9"/>
        <v>24100922.112000003</v>
      </c>
      <c r="V10" s="8">
        <v>25</v>
      </c>
      <c r="W10" s="8">
        <v>24</v>
      </c>
      <c r="X10" s="8">
        <f t="shared" si="10"/>
        <v>1</v>
      </c>
    </row>
    <row r="11" spans="1:24" ht="27.75" customHeight="1" thickTop="1" thickBot="1" x14ac:dyDescent="0.3">
      <c r="A11" s="6" t="s">
        <v>34</v>
      </c>
      <c r="B11" s="7">
        <v>423066</v>
      </c>
      <c r="C11" s="7">
        <f>SUM(C4:C10)</f>
        <v>11254604</v>
      </c>
      <c r="D11" s="7">
        <v>9852963</v>
      </c>
      <c r="E11" s="7">
        <f>SUM(E4:E10)</f>
        <v>1401641</v>
      </c>
      <c r="F11" s="7">
        <f>SUM(F4:F10)</f>
        <v>10804419.84</v>
      </c>
      <c r="G11" s="7">
        <f>SUM(G4:G10)</f>
        <v>951456.84000000032</v>
      </c>
      <c r="H11" s="7">
        <f t="shared" si="3"/>
        <v>912353.5</v>
      </c>
      <c r="I11" s="7">
        <f t="shared" si="4"/>
        <v>7362692.7450000001</v>
      </c>
      <c r="J11" s="7">
        <f t="shared" si="5"/>
        <v>3333760.08</v>
      </c>
      <c r="K11" s="7">
        <v>448382.95</v>
      </c>
      <c r="L11" s="12">
        <f t="shared" si="6"/>
        <v>0.89046751970746929</v>
      </c>
      <c r="M11" s="7">
        <f t="shared" si="7"/>
        <v>104031.1858608894</v>
      </c>
      <c r="N11" s="6">
        <v>8.07</v>
      </c>
      <c r="O11" s="6">
        <v>7.88</v>
      </c>
      <c r="P11" s="6">
        <v>8.77</v>
      </c>
      <c r="Q11" s="6">
        <v>8.65</v>
      </c>
      <c r="R11" s="12">
        <v>0.65890000000000004</v>
      </c>
      <c r="S11" s="12">
        <v>0.65980000000000005</v>
      </c>
      <c r="T11" s="7">
        <f t="shared" si="8"/>
        <v>77641348.439999998</v>
      </c>
      <c r="U11" s="7">
        <f t="shared" si="9"/>
        <v>87191668.108800009</v>
      </c>
      <c r="V11" s="6">
        <v>25</v>
      </c>
      <c r="W11" s="6">
        <v>24</v>
      </c>
      <c r="X11" s="6">
        <f t="shared" si="10"/>
        <v>1</v>
      </c>
    </row>
    <row r="12" spans="1:24" ht="15.75" customHeight="1" thickTop="1" x14ac:dyDescent="0.25">
      <c r="A12" s="10" t="s">
        <v>35</v>
      </c>
      <c r="B12" s="9">
        <v>126525</v>
      </c>
      <c r="C12" s="2">
        <v>3049596</v>
      </c>
      <c r="D12" s="9">
        <v>3083664</v>
      </c>
      <c r="E12" s="9">
        <f>C12-D12</f>
        <v>-34068</v>
      </c>
      <c r="F12" s="9">
        <f>C12*W12/V12</f>
        <v>2927612.16</v>
      </c>
      <c r="G12" s="9">
        <f>F12-D12</f>
        <v>-156051.83999999985</v>
      </c>
      <c r="H12" s="9">
        <f t="shared" si="3"/>
        <v>46228.5</v>
      </c>
      <c r="I12" s="9">
        <f t="shared" si="4"/>
        <v>190923.70499999999</v>
      </c>
      <c r="J12" s="9">
        <f t="shared" si="5"/>
        <v>479529.75</v>
      </c>
      <c r="K12" s="9">
        <v>134553</v>
      </c>
      <c r="L12" s="16">
        <f t="shared" si="6"/>
        <v>0.96659082095157967</v>
      </c>
      <c r="M12" s="9">
        <f t="shared" si="7"/>
        <v>4622.8500000000004</v>
      </c>
      <c r="N12" s="8">
        <v>4.13</v>
      </c>
      <c r="O12" s="8">
        <v>3.79</v>
      </c>
      <c r="P12" s="8">
        <v>10</v>
      </c>
      <c r="Q12" s="8">
        <v>10.74</v>
      </c>
      <c r="R12" s="11">
        <v>0.73</v>
      </c>
      <c r="S12" s="11">
        <v>0.68590000000000007</v>
      </c>
      <c r="T12" s="9">
        <f t="shared" si="8"/>
        <v>11687086.560000001</v>
      </c>
      <c r="U12" s="9">
        <f t="shared" si="9"/>
        <v>12091038.220800001</v>
      </c>
      <c r="V12" s="8">
        <v>25</v>
      </c>
      <c r="W12" s="8">
        <v>24</v>
      </c>
      <c r="X12" s="8">
        <f t="shared" si="10"/>
        <v>1</v>
      </c>
    </row>
    <row r="13" spans="1:24" ht="15.75" customHeight="1" x14ac:dyDescent="0.25">
      <c r="A13" s="10" t="s">
        <v>36</v>
      </c>
      <c r="B13" s="9">
        <v>8009</v>
      </c>
      <c r="C13" s="9">
        <v>241401</v>
      </c>
      <c r="D13" s="9">
        <v>215195</v>
      </c>
      <c r="E13" s="9">
        <f>C13-D13</f>
        <v>26206</v>
      </c>
      <c r="F13" s="9">
        <f>C13*W13/V13</f>
        <v>231744.96</v>
      </c>
      <c r="G13" s="9">
        <f>F13-D13</f>
        <v>16549.959999999992</v>
      </c>
      <c r="H13" s="9">
        <f t="shared" si="3"/>
        <v>17107.5</v>
      </c>
      <c r="I13" s="9">
        <f t="shared" si="4"/>
        <v>118726.05</v>
      </c>
      <c r="J13" s="9">
        <f t="shared" si="5"/>
        <v>58705.97</v>
      </c>
      <c r="K13" s="9">
        <v>19264</v>
      </c>
      <c r="L13" s="16">
        <f t="shared" si="6"/>
        <v>0.98076821510205869</v>
      </c>
      <c r="M13" s="9">
        <f t="shared" si="7"/>
        <v>2138.4375</v>
      </c>
      <c r="N13" s="20">
        <v>6.94</v>
      </c>
      <c r="O13" s="18">
        <v>7.33</v>
      </c>
      <c r="P13" s="18">
        <v>8</v>
      </c>
      <c r="Q13" s="18">
        <v>8.51</v>
      </c>
      <c r="R13" s="19">
        <v>0.65</v>
      </c>
      <c r="S13" s="11">
        <v>0.1381</v>
      </c>
      <c r="T13" s="9">
        <f t="shared" si="8"/>
        <v>1577379.35</v>
      </c>
      <c r="U13" s="9">
        <f t="shared" si="9"/>
        <v>1608310.0224000001</v>
      </c>
      <c r="V13" s="8">
        <v>25</v>
      </c>
      <c r="W13" s="8">
        <v>24</v>
      </c>
      <c r="X13" s="8">
        <f t="shared" si="10"/>
        <v>1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C11</f>
        <v>11254604</v>
      </c>
      <c r="B18" s="13">
        <f>D11</f>
        <v>9852963</v>
      </c>
      <c r="C18" s="13">
        <f>QUOTIENT(B11,10000)*10000</f>
        <v>420000</v>
      </c>
      <c r="D18" s="13">
        <f t="shared" ref="D18:D23" si="11">C18*$X$11</f>
        <v>420000</v>
      </c>
      <c r="E18" s="13">
        <f t="shared" ref="E18:E23" si="12">$D$11+D18</f>
        <v>10272963</v>
      </c>
      <c r="F18" s="13">
        <f t="shared" ref="F18:F23" si="13">$C$11-E18</f>
        <v>981641</v>
      </c>
      <c r="M18" s="1"/>
    </row>
    <row r="19" spans="1:13" x14ac:dyDescent="0.25">
      <c r="A19" s="15" t="s">
        <v>44</v>
      </c>
      <c r="B19" s="14"/>
      <c r="C19" s="13">
        <f>C18+35000</f>
        <v>455000</v>
      </c>
      <c r="D19" s="13">
        <f t="shared" si="11"/>
        <v>455000</v>
      </c>
      <c r="E19" s="13">
        <f t="shared" si="12"/>
        <v>10307963</v>
      </c>
      <c r="F19" s="13">
        <f t="shared" si="13"/>
        <v>946641</v>
      </c>
      <c r="M19" s="1"/>
    </row>
    <row r="20" spans="1:13" x14ac:dyDescent="0.25">
      <c r="A20" s="15" t="s">
        <v>44</v>
      </c>
      <c r="B20" s="14"/>
      <c r="C20" s="13">
        <f>C19+35000</f>
        <v>490000</v>
      </c>
      <c r="D20" s="13">
        <f t="shared" si="11"/>
        <v>490000</v>
      </c>
      <c r="E20" s="13">
        <f t="shared" si="12"/>
        <v>10342963</v>
      </c>
      <c r="F20" s="13">
        <f t="shared" si="13"/>
        <v>911641</v>
      </c>
    </row>
    <row r="21" spans="1:13" x14ac:dyDescent="0.25">
      <c r="A21" s="15" t="s">
        <v>44</v>
      </c>
      <c r="B21" s="14"/>
      <c r="C21" s="13">
        <f>C20+35000</f>
        <v>525000</v>
      </c>
      <c r="D21" s="13">
        <f t="shared" si="11"/>
        <v>525000</v>
      </c>
      <c r="E21" s="13">
        <f t="shared" si="12"/>
        <v>10377963</v>
      </c>
      <c r="F21" s="13">
        <f t="shared" si="13"/>
        <v>876641</v>
      </c>
    </row>
    <row r="22" spans="1:13" x14ac:dyDescent="0.25">
      <c r="A22" s="15" t="s">
        <v>44</v>
      </c>
      <c r="B22" s="14"/>
      <c r="C22" s="13">
        <f>C21+35000</f>
        <v>560000</v>
      </c>
      <c r="D22" s="13">
        <f t="shared" si="11"/>
        <v>560000</v>
      </c>
      <c r="E22" s="13">
        <f t="shared" si="12"/>
        <v>10412963</v>
      </c>
      <c r="F22" s="13">
        <f t="shared" si="13"/>
        <v>841641</v>
      </c>
    </row>
    <row r="23" spans="1:13" x14ac:dyDescent="0.25">
      <c r="A23" s="15" t="s">
        <v>44</v>
      </c>
      <c r="B23" s="14"/>
      <c r="C23" s="13">
        <f>C22+35000</f>
        <v>595000</v>
      </c>
      <c r="D23" s="13">
        <f t="shared" si="11"/>
        <v>595000</v>
      </c>
      <c r="E23" s="13">
        <f t="shared" si="12"/>
        <v>10447963</v>
      </c>
      <c r="F23" s="13">
        <f t="shared" si="13"/>
        <v>806641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2025-08-31T05:58:02Z</dcterms:modified>
</cp:coreProperties>
</file>