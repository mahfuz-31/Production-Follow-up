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F:\1. Work\1. Daily\Production follow up\08. Aug\"/>
    </mc:Choice>
  </mc:AlternateContent>
  <xr:revisionPtr revIDLastSave="0" documentId="13_ncr:1_{A28B70AB-2E20-4B45-9E55-382405879185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  <c r="B18" i="1"/>
  <c r="X13" i="1"/>
  <c r="T13" i="1"/>
  <c r="L13" i="1" s="1"/>
  <c r="J13" i="1"/>
  <c r="F13" i="1"/>
  <c r="U13" i="1" s="1"/>
  <c r="E13" i="1"/>
  <c r="H13" i="1" s="1"/>
  <c r="X12" i="1"/>
  <c r="T12" i="1"/>
  <c r="J12" i="1"/>
  <c r="F12" i="1"/>
  <c r="G12" i="1" s="1"/>
  <c r="E12" i="1"/>
  <c r="X11" i="1"/>
  <c r="T11" i="1"/>
  <c r="J11" i="1"/>
  <c r="C11" i="1"/>
  <c r="X10" i="1"/>
  <c r="T10" i="1"/>
  <c r="J10" i="1"/>
  <c r="H10" i="1"/>
  <c r="M10" i="1" s="1"/>
  <c r="F10" i="1"/>
  <c r="U10" i="1" s="1"/>
  <c r="L10" i="1" s="1"/>
  <c r="E10" i="1"/>
  <c r="X9" i="1"/>
  <c r="H9" i="1" s="1"/>
  <c r="T9" i="1"/>
  <c r="J9" i="1"/>
  <c r="F9" i="1"/>
  <c r="U9" i="1" s="1"/>
  <c r="L9" i="1" s="1"/>
  <c r="E9" i="1"/>
  <c r="X8" i="1"/>
  <c r="T8" i="1"/>
  <c r="J8" i="1"/>
  <c r="F8" i="1"/>
  <c r="U8" i="1" s="1"/>
  <c r="E8" i="1"/>
  <c r="H8" i="1" s="1"/>
  <c r="X7" i="1"/>
  <c r="T7" i="1"/>
  <c r="J7" i="1"/>
  <c r="F7" i="1"/>
  <c r="G7" i="1" s="1"/>
  <c r="E7" i="1"/>
  <c r="X6" i="1"/>
  <c r="H6" i="1" s="1"/>
  <c r="M6" i="1" s="1"/>
  <c r="T6" i="1"/>
  <c r="J6" i="1"/>
  <c r="F6" i="1"/>
  <c r="U6" i="1" s="1"/>
  <c r="L6" i="1" s="1"/>
  <c r="E6" i="1"/>
  <c r="X5" i="1"/>
  <c r="H5" i="1" s="1"/>
  <c r="T5" i="1"/>
  <c r="J5" i="1"/>
  <c r="F5" i="1"/>
  <c r="U5" i="1" s="1"/>
  <c r="L5" i="1" s="1"/>
  <c r="E5" i="1"/>
  <c r="X4" i="1"/>
  <c r="T4" i="1"/>
  <c r="J4" i="1"/>
  <c r="F4" i="1"/>
  <c r="E4" i="1"/>
  <c r="H4" i="1" s="1"/>
  <c r="F11" i="1" l="1"/>
  <c r="U11" i="1" s="1"/>
  <c r="L11" i="1" s="1"/>
  <c r="H12" i="1"/>
  <c r="G6" i="1"/>
  <c r="G10" i="1"/>
  <c r="H7" i="1"/>
  <c r="M7" i="1" s="1"/>
  <c r="L8" i="1"/>
  <c r="G9" i="1"/>
  <c r="G5" i="1"/>
  <c r="D18" i="1"/>
  <c r="E18" i="1" s="1"/>
  <c r="F18" i="1" s="1"/>
  <c r="I13" i="1"/>
  <c r="M13" i="1"/>
  <c r="M12" i="1"/>
  <c r="I12" i="1"/>
  <c r="I5" i="1"/>
  <c r="M5" i="1"/>
  <c r="I7" i="1"/>
  <c r="I8" i="1"/>
  <c r="M8" i="1"/>
  <c r="I9" i="1"/>
  <c r="M9" i="1"/>
  <c r="I4" i="1"/>
  <c r="M4" i="1"/>
  <c r="C19" i="1"/>
  <c r="G4" i="1"/>
  <c r="I6" i="1"/>
  <c r="U7" i="1"/>
  <c r="L7" i="1" s="1"/>
  <c r="G8" i="1"/>
  <c r="I10" i="1"/>
  <c r="E11" i="1"/>
  <c r="H11" i="1" s="1"/>
  <c r="U12" i="1"/>
  <c r="L12" i="1" s="1"/>
  <c r="G13" i="1"/>
  <c r="U4" i="1"/>
  <c r="L4" i="1" s="1"/>
  <c r="A18" i="1"/>
  <c r="G11" i="1" l="1"/>
  <c r="D19" i="1"/>
  <c r="E19" i="1" s="1"/>
  <c r="F19" i="1" s="1"/>
  <c r="C20" i="1"/>
  <c r="M11" i="1"/>
  <c r="I11" i="1"/>
  <c r="D20" i="1" l="1"/>
  <c r="E20" i="1" s="1"/>
  <c r="F20" i="1" s="1"/>
  <c r="C21" i="1"/>
  <c r="D21" i="1" l="1"/>
  <c r="E21" i="1" s="1"/>
  <c r="F21" i="1" s="1"/>
  <c r="C22" i="1"/>
  <c r="D22" i="1" l="1"/>
  <c r="E22" i="1" s="1"/>
  <c r="F22" i="1" s="1"/>
  <c r="C23" i="1"/>
  <c r="D23" i="1" s="1"/>
  <c r="E23" i="1" s="1"/>
  <c r="F23" i="1" s="1"/>
</calcChain>
</file>

<file path=xl/sharedStrings.xml><?xml version="1.0" encoding="utf-8"?>
<sst xmlns="http://schemas.openxmlformats.org/spreadsheetml/2006/main" count="49" uniqueCount="45">
  <si>
    <t>Plan vs Achievement</t>
  </si>
  <si>
    <t xml:space="preserve">Date: </t>
  </si>
  <si>
    <t>10-Aug-25</t>
  </si>
  <si>
    <t>Production Unit</t>
  </si>
  <si>
    <t>QC Pass (Pcs)</t>
  </si>
  <si>
    <t>Plan (Pcs)</t>
  </si>
  <si>
    <t>Accu. QC Pass</t>
  </si>
  <si>
    <t>Plan Balance</t>
  </si>
  <si>
    <t>Required Prod upto yesterday</t>
  </si>
  <si>
    <t>Back Log upto yesterday</t>
  </si>
  <si>
    <t>Average Requirement as per Plan</t>
  </si>
  <si>
    <t>Average target in minutes</t>
  </si>
  <si>
    <t>QC Pass in minutes</t>
  </si>
  <si>
    <t>Factory Target</t>
  </si>
  <si>
    <t>Plan Achv % (monthly, minute based)</t>
  </si>
  <si>
    <t>Required Hr</t>
  </si>
  <si>
    <t>Plan SMV</t>
  </si>
  <si>
    <t>Produced SMV</t>
  </si>
  <si>
    <t>Plan Hr</t>
  </si>
  <si>
    <t>Produced Hr</t>
  </si>
  <si>
    <t>Plan Eff%</t>
  </si>
  <si>
    <t>Prod. Eff%</t>
  </si>
  <si>
    <t>Accu. Produced Minute</t>
  </si>
  <si>
    <t>Total Plan Minute</t>
  </si>
  <si>
    <t>Plan day</t>
  </si>
  <si>
    <t>Completed Day</t>
  </si>
  <si>
    <t>Remaining Days</t>
  </si>
  <si>
    <t>JAL</t>
  </si>
  <si>
    <t>JAL3</t>
  </si>
  <si>
    <t>JFL</t>
  </si>
  <si>
    <t>JKL</t>
  </si>
  <si>
    <t>MFL</t>
  </si>
  <si>
    <t>FFL2</t>
  </si>
  <si>
    <t>JKL-U2</t>
  </si>
  <si>
    <t>GMT TOTAL:</t>
  </si>
  <si>
    <t>LINGERIE</t>
  </si>
  <si>
    <t>GTAL</t>
  </si>
  <si>
    <t>Forecast excluding Lingerie:</t>
  </si>
  <si>
    <t>Plan Qty</t>
  </si>
  <si>
    <t>Production in Completed days</t>
  </si>
  <si>
    <t>Estimated Production/day</t>
  </si>
  <si>
    <t>Remaining days Possible Production</t>
  </si>
  <si>
    <t>Forecasted production</t>
  </si>
  <si>
    <t>Backlog from plan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</si>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</sst>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/mmm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</font>
    <font>
      <b/>
      <sz val="18"/>
      <name val="Playfair Display"/>
    </font>
  </fonts>
  <fills count="3">
    <fill>
      <patternFill patternType="none"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0" fillId="0" borderId="0"/>
    <xf numFmtId="9" fontId="1" fillId="0" borderId="0"/>
  </cellStyleXfs>
  <cellXfs count="22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0" fontId="4" fillId="0" borderId="2" xfId="0" applyFont="1" applyBorder="1"/>
    <xf numFmtId="9" fontId="0" fillId="0" borderId="2" xfId="1" applyFont="1" applyBorder="1"/>
    <xf numFmtId="9" fontId="6" fillId="2" borderId="1" xfId="1" applyFont="1" applyFill="1" applyBorder="1" applyAlignment="1">
      <alignment horizontal="center" vertical="center" wrapText="1"/>
    </xf>
    <xf numFmtId="3" fontId="7" fillId="0" borderId="2" xfId="0" applyNumberFormat="1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1" fontId="0" fillId="0" borderId="2" xfId="0" applyNumberFormat="1" applyBorder="1"/>
    <xf numFmtId="0" fontId="0" fillId="0" borderId="3" xfId="0" applyBorder="1"/>
    <xf numFmtId="9" fontId="0" fillId="0" borderId="3" xfId="1" applyFont="1" applyBorder="1"/>
    <xf numFmtId="0" fontId="8" fillId="0" borderId="0" xfId="0" applyFont="1"/>
    <xf numFmtId="0" fontId="9" fillId="0" borderId="0" xfId="0" applyFont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workbookViewId="0">
      <selection activeCell="V4" sqref="V4:V13"/>
    </sheetView>
  </sheetViews>
  <sheetFormatPr defaultRowHeight="15" x14ac:dyDescent="0.25"/>
  <cols>
    <col min="1" max="1" width="11.5703125" customWidth="1"/>
    <col min="2" max="2" width="13.140625" customWidth="1"/>
    <col min="3" max="3" width="10.5703125" customWidth="1"/>
    <col min="4" max="4" width="10.7109375" bestFit="1" customWidth="1"/>
    <col min="5" max="5" width="11.140625" customWidth="1"/>
    <col min="6" max="6" width="10.85546875" customWidth="1"/>
    <col min="7" max="7" width="11.28515625" customWidth="1"/>
    <col min="8" max="8" width="12.42578125" customWidth="1"/>
    <col min="9" max="9" width="10.140625" customWidth="1"/>
    <col min="10" max="10" width="10" bestFit="1" customWidth="1"/>
    <col min="11" max="11" width="10.42578125" customWidth="1"/>
    <col min="13" max="13" width="11.5703125" bestFit="1" customWidth="1"/>
    <col min="20" max="20" width="11.42578125" customWidth="1"/>
    <col min="21" max="21" width="13" customWidth="1"/>
  </cols>
  <sheetData>
    <row r="1" spans="1:24" ht="29.25" customHeight="1" x14ac:dyDescent="0.55000000000000004">
      <c r="A1" s="21" t="s">
        <v>0</v>
      </c>
    </row>
    <row r="2" spans="1:24" ht="15.75" customHeight="1" thickBot="1" x14ac:dyDescent="0.3">
      <c r="A2" s="3" t="s">
        <v>1</v>
      </c>
      <c r="B2" s="4" t="s">
        <v>2</v>
      </c>
    </row>
    <row r="3" spans="1:24" ht="76.5" customHeight="1" thickTop="1" thickBot="1" x14ac:dyDescent="0.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</row>
    <row r="4" spans="1:24" ht="15.75" customHeight="1" thickTop="1" x14ac:dyDescent="0.25">
      <c r="A4" s="10" t="s">
        <v>27</v>
      </c>
      <c r="B4" s="9">
        <v>63927</v>
      </c>
      <c r="C4" s="9">
        <v>1688592</v>
      </c>
      <c r="D4" s="9">
        <v>483295</v>
      </c>
      <c r="E4" s="9">
        <f t="shared" ref="E4:E10" si="0">C4-D4</f>
        <v>1205297</v>
      </c>
      <c r="F4" s="9">
        <f t="shared" ref="F4:F10" si="1">C4*W4/V4</f>
        <v>472805.76</v>
      </c>
      <c r="G4" s="9">
        <f t="shared" ref="G4:G10" si="2">F4-D4</f>
        <v>-10489.239999999991</v>
      </c>
      <c r="H4" s="9">
        <f t="shared" ref="H4:H13" si="3">(E4+B4)/(X4+1)</f>
        <v>66801.263157894733</v>
      </c>
      <c r="I4" s="9">
        <f t="shared" ref="I4:I13" si="4">H4*N4</f>
        <v>541090.23157894728</v>
      </c>
      <c r="J4" s="9">
        <f t="shared" ref="J4:J13" si="5">B4*O4</f>
        <v>517169.43</v>
      </c>
      <c r="K4" s="9">
        <v>66548</v>
      </c>
      <c r="L4" s="16">
        <f t="shared" ref="L4:L13" si="6">T4/U4</f>
        <v>1.0209231366093612</v>
      </c>
      <c r="M4" s="9">
        <f t="shared" ref="M4:M13" si="7">H4/P4</f>
        <v>7422.3625730994145</v>
      </c>
      <c r="N4" s="8">
        <v>8.1</v>
      </c>
      <c r="O4" s="8">
        <v>8.09</v>
      </c>
      <c r="P4" s="8">
        <v>9</v>
      </c>
      <c r="Q4" s="8">
        <v>9.73</v>
      </c>
      <c r="R4" s="11">
        <v>0.68</v>
      </c>
      <c r="S4" s="11">
        <v>0.66739999999999999</v>
      </c>
      <c r="T4" s="9">
        <f t="shared" ref="T4:T13" si="8">O4*D4</f>
        <v>3909856.55</v>
      </c>
      <c r="U4" s="9">
        <f t="shared" ref="U4:U13" si="9">N4*F4</f>
        <v>3829726.656</v>
      </c>
      <c r="V4" s="8">
        <v>25</v>
      </c>
      <c r="W4" s="8">
        <v>7</v>
      </c>
      <c r="X4" s="8">
        <f t="shared" ref="X4:X13" si="10">V4-W4</f>
        <v>18</v>
      </c>
    </row>
    <row r="5" spans="1:24" x14ac:dyDescent="0.25">
      <c r="A5" s="10" t="s">
        <v>28</v>
      </c>
      <c r="B5" s="9">
        <v>9160</v>
      </c>
      <c r="C5" s="9">
        <v>206218</v>
      </c>
      <c r="D5" s="9">
        <v>64770</v>
      </c>
      <c r="E5" s="9">
        <f t="shared" si="0"/>
        <v>141448</v>
      </c>
      <c r="F5" s="9">
        <f t="shared" si="1"/>
        <v>57741.04</v>
      </c>
      <c r="G5" s="9">
        <f t="shared" si="2"/>
        <v>-7028.9599999999991</v>
      </c>
      <c r="H5" s="9">
        <f t="shared" si="3"/>
        <v>7926.7368421052633</v>
      </c>
      <c r="I5" s="9">
        <f t="shared" si="4"/>
        <v>64206.568421052631</v>
      </c>
      <c r="J5" s="9">
        <f t="shared" si="5"/>
        <v>55509.599999999999</v>
      </c>
      <c r="K5" s="9">
        <v>8289</v>
      </c>
      <c r="L5" s="16">
        <f t="shared" si="6"/>
        <v>0.83922207766876988</v>
      </c>
      <c r="M5" s="17">
        <f t="shared" si="7"/>
        <v>880.74853801169593</v>
      </c>
      <c r="N5" s="8">
        <v>8.1</v>
      </c>
      <c r="O5" s="8">
        <v>6.06</v>
      </c>
      <c r="P5" s="8">
        <v>9</v>
      </c>
      <c r="Q5" s="8">
        <v>8.1300000000000008</v>
      </c>
      <c r="R5" s="11">
        <v>0.68</v>
      </c>
      <c r="S5" s="11">
        <v>0.73430000000000006</v>
      </c>
      <c r="T5" s="9">
        <f t="shared" si="8"/>
        <v>392506.19999999995</v>
      </c>
      <c r="U5" s="9">
        <f t="shared" si="9"/>
        <v>467702.424</v>
      </c>
      <c r="V5" s="8">
        <v>25</v>
      </c>
      <c r="W5" s="8">
        <v>7</v>
      </c>
      <c r="X5" s="8">
        <f t="shared" si="10"/>
        <v>18</v>
      </c>
    </row>
    <row r="6" spans="1:24" x14ac:dyDescent="0.25">
      <c r="A6" s="10" t="s">
        <v>29</v>
      </c>
      <c r="B6" s="9">
        <v>36200</v>
      </c>
      <c r="C6" s="9">
        <v>1226090</v>
      </c>
      <c r="D6" s="9">
        <v>279228</v>
      </c>
      <c r="E6" s="9">
        <f t="shared" si="0"/>
        <v>946862</v>
      </c>
      <c r="F6" s="9">
        <f t="shared" si="1"/>
        <v>343305.2</v>
      </c>
      <c r="G6" s="9">
        <f t="shared" si="2"/>
        <v>64077.200000000012</v>
      </c>
      <c r="H6" s="9">
        <f t="shared" si="3"/>
        <v>51740.105263157893</v>
      </c>
      <c r="I6" s="9">
        <f t="shared" si="4"/>
        <v>373563.56</v>
      </c>
      <c r="J6" s="9">
        <f t="shared" si="5"/>
        <v>245798</v>
      </c>
      <c r="K6" s="9">
        <v>35650</v>
      </c>
      <c r="L6" s="16">
        <f t="shared" si="6"/>
        <v>0.76491144777977982</v>
      </c>
      <c r="M6" s="9">
        <f t="shared" si="7"/>
        <v>5174.0105263157893</v>
      </c>
      <c r="N6" s="8">
        <v>7.22</v>
      </c>
      <c r="O6" s="8">
        <v>6.79</v>
      </c>
      <c r="P6" s="8">
        <v>10</v>
      </c>
      <c r="Q6" s="8">
        <v>8.67</v>
      </c>
      <c r="R6" s="11">
        <v>0.71799999999999997</v>
      </c>
      <c r="S6" s="11">
        <v>0.70730000000000004</v>
      </c>
      <c r="T6" s="9">
        <f t="shared" si="8"/>
        <v>1895958.12</v>
      </c>
      <c r="U6" s="9">
        <f t="shared" si="9"/>
        <v>2478663.5440000002</v>
      </c>
      <c r="V6" s="8">
        <v>25</v>
      </c>
      <c r="W6" s="8">
        <v>7</v>
      </c>
      <c r="X6" s="8">
        <f t="shared" si="10"/>
        <v>18</v>
      </c>
    </row>
    <row r="7" spans="1:24" x14ac:dyDescent="0.25">
      <c r="A7" s="10" t="s">
        <v>30</v>
      </c>
      <c r="B7" s="9">
        <v>75958</v>
      </c>
      <c r="C7" s="9">
        <v>1844988</v>
      </c>
      <c r="D7" s="9">
        <v>507108</v>
      </c>
      <c r="E7" s="9">
        <f t="shared" si="0"/>
        <v>1337880</v>
      </c>
      <c r="F7" s="9">
        <f t="shared" si="1"/>
        <v>516596.64</v>
      </c>
      <c r="G7" s="9">
        <f t="shared" si="2"/>
        <v>9488.640000000014</v>
      </c>
      <c r="H7" s="9">
        <f t="shared" si="3"/>
        <v>74412.526315789481</v>
      </c>
      <c r="I7" s="9">
        <f t="shared" si="4"/>
        <v>607206.2147368422</v>
      </c>
      <c r="J7" s="9">
        <f t="shared" si="5"/>
        <v>598549.04</v>
      </c>
      <c r="K7" s="9">
        <v>81894</v>
      </c>
      <c r="L7" s="16">
        <f t="shared" si="6"/>
        <v>0.94794893612571252</v>
      </c>
      <c r="M7" s="9">
        <f t="shared" si="7"/>
        <v>9301.5657894736851</v>
      </c>
      <c r="N7" s="8">
        <v>8.16</v>
      </c>
      <c r="O7" s="8">
        <v>7.88</v>
      </c>
      <c r="P7" s="8">
        <v>8</v>
      </c>
      <c r="Q7" s="8">
        <v>8.6199999999999992</v>
      </c>
      <c r="R7" s="11">
        <v>0.60299999999999998</v>
      </c>
      <c r="S7" s="11">
        <v>0.63840000000000008</v>
      </c>
      <c r="T7" s="9">
        <f t="shared" si="8"/>
        <v>3996011.04</v>
      </c>
      <c r="U7" s="9">
        <f t="shared" si="9"/>
        <v>4215428.5823999997</v>
      </c>
      <c r="V7" s="8">
        <v>25</v>
      </c>
      <c r="W7" s="8">
        <v>7</v>
      </c>
      <c r="X7" s="8">
        <f t="shared" si="10"/>
        <v>18</v>
      </c>
    </row>
    <row r="8" spans="1:24" x14ac:dyDescent="0.25">
      <c r="A8" s="10" t="s">
        <v>31</v>
      </c>
      <c r="B8" s="9">
        <v>73281</v>
      </c>
      <c r="C8" s="9">
        <v>2255336</v>
      </c>
      <c r="D8" s="9">
        <v>511691</v>
      </c>
      <c r="E8" s="9">
        <f t="shared" si="0"/>
        <v>1743645</v>
      </c>
      <c r="F8" s="9">
        <f t="shared" si="1"/>
        <v>631494.07999999996</v>
      </c>
      <c r="G8" s="9">
        <f t="shared" si="2"/>
        <v>119803.07999999996</v>
      </c>
      <c r="H8" s="9">
        <f t="shared" si="3"/>
        <v>95627.68421052632</v>
      </c>
      <c r="I8" s="9">
        <f t="shared" si="4"/>
        <v>699038.37157894741</v>
      </c>
      <c r="J8" s="9">
        <f t="shared" si="5"/>
        <v>484387.41000000003</v>
      </c>
      <c r="K8" s="9">
        <v>83717</v>
      </c>
      <c r="L8" s="16">
        <f t="shared" si="6"/>
        <v>0.7326939024243988</v>
      </c>
      <c r="M8" s="9">
        <f t="shared" si="7"/>
        <v>9562.7684210526313</v>
      </c>
      <c r="N8" s="8">
        <v>7.31</v>
      </c>
      <c r="O8" s="8">
        <v>6.61</v>
      </c>
      <c r="P8" s="8">
        <v>10</v>
      </c>
      <c r="Q8" s="8">
        <v>8.9600000000000009</v>
      </c>
      <c r="R8" s="11">
        <v>0.65</v>
      </c>
      <c r="S8" s="11">
        <v>0.62680000000000002</v>
      </c>
      <c r="T8" s="9">
        <f t="shared" si="8"/>
        <v>3382277.5100000002</v>
      </c>
      <c r="U8" s="9">
        <f t="shared" si="9"/>
        <v>4616221.724799999</v>
      </c>
      <c r="V8" s="8">
        <v>25</v>
      </c>
      <c r="W8" s="8">
        <v>7</v>
      </c>
      <c r="X8" s="8">
        <f t="shared" si="10"/>
        <v>18</v>
      </c>
    </row>
    <row r="9" spans="1:24" x14ac:dyDescent="0.25">
      <c r="A9" s="10" t="s">
        <v>32</v>
      </c>
      <c r="B9" s="9">
        <v>63926</v>
      </c>
      <c r="C9" s="9">
        <v>1365460</v>
      </c>
      <c r="D9" s="9">
        <v>426163</v>
      </c>
      <c r="E9" s="9">
        <f t="shared" si="0"/>
        <v>939297</v>
      </c>
      <c r="F9" s="9">
        <f t="shared" si="1"/>
        <v>382328.8</v>
      </c>
      <c r="G9" s="9">
        <f t="shared" si="2"/>
        <v>-43834.200000000012</v>
      </c>
      <c r="H9" s="9">
        <f t="shared" si="3"/>
        <v>52801.210526315786</v>
      </c>
      <c r="I9" s="9">
        <f t="shared" si="4"/>
        <v>397065.10315789469</v>
      </c>
      <c r="J9" s="9">
        <f t="shared" si="5"/>
        <v>524832.46000000008</v>
      </c>
      <c r="K9" s="9">
        <v>72347</v>
      </c>
      <c r="L9" s="16">
        <f t="shared" si="6"/>
        <v>1.2169256463924982</v>
      </c>
      <c r="M9" s="9">
        <f t="shared" si="7"/>
        <v>6600.1513157894733</v>
      </c>
      <c r="N9" s="8">
        <v>7.52</v>
      </c>
      <c r="O9" s="8">
        <v>8.2100000000000009</v>
      </c>
      <c r="P9" s="8">
        <v>8</v>
      </c>
      <c r="Q9" s="8">
        <v>9.06</v>
      </c>
      <c r="R9" s="11">
        <v>0.68</v>
      </c>
      <c r="S9" s="11">
        <v>0.63390000000000002</v>
      </c>
      <c r="T9" s="9">
        <f t="shared" si="8"/>
        <v>3498798.2300000004</v>
      </c>
      <c r="U9" s="9">
        <f t="shared" si="9"/>
        <v>2875112.5759999999</v>
      </c>
      <c r="V9" s="8">
        <v>25</v>
      </c>
      <c r="W9" s="8">
        <v>7</v>
      </c>
      <c r="X9" s="8">
        <f t="shared" si="10"/>
        <v>18</v>
      </c>
    </row>
    <row r="10" spans="1:24" ht="14.25" customHeight="1" thickBot="1" x14ac:dyDescent="0.3">
      <c r="A10" s="10" t="s">
        <v>33</v>
      </c>
      <c r="B10" s="9">
        <v>87715</v>
      </c>
      <c r="C10" s="9">
        <v>2667920</v>
      </c>
      <c r="D10" s="9">
        <v>607987</v>
      </c>
      <c r="E10" s="9">
        <f t="shared" si="0"/>
        <v>2059933</v>
      </c>
      <c r="F10" s="9">
        <f t="shared" si="1"/>
        <v>747017.6</v>
      </c>
      <c r="G10" s="9">
        <f t="shared" si="2"/>
        <v>139030.59999999998</v>
      </c>
      <c r="H10" s="9">
        <f t="shared" si="3"/>
        <v>113034.10526315789</v>
      </c>
      <c r="I10" s="9">
        <f t="shared" si="4"/>
        <v>1063650.9305263157</v>
      </c>
      <c r="J10" s="9">
        <f t="shared" si="5"/>
        <v>785049.24999999988</v>
      </c>
      <c r="K10" s="9">
        <v>102074</v>
      </c>
      <c r="L10" s="16">
        <f t="shared" si="6"/>
        <v>0.77409964999386371</v>
      </c>
      <c r="M10" s="9">
        <f t="shared" si="7"/>
        <v>14129.263157894737</v>
      </c>
      <c r="N10" s="8">
        <v>9.41</v>
      </c>
      <c r="O10" s="8">
        <v>8.9499999999999993</v>
      </c>
      <c r="P10" s="8">
        <v>8</v>
      </c>
      <c r="Q10" s="8">
        <v>8.36</v>
      </c>
      <c r="R10" s="11">
        <v>0.65300000000000002</v>
      </c>
      <c r="S10" s="11">
        <v>0.62630000000000008</v>
      </c>
      <c r="T10" s="9">
        <f t="shared" si="8"/>
        <v>5441483.6499999994</v>
      </c>
      <c r="U10" s="9">
        <f t="shared" si="9"/>
        <v>7029435.6159999995</v>
      </c>
      <c r="V10" s="8">
        <v>25</v>
      </c>
      <c r="W10" s="8">
        <v>7</v>
      </c>
      <c r="X10" s="8">
        <f t="shared" si="10"/>
        <v>18</v>
      </c>
    </row>
    <row r="11" spans="1:24" ht="27.75" customHeight="1" thickTop="1" thickBot="1" x14ac:dyDescent="0.3">
      <c r="A11" s="6" t="s">
        <v>34</v>
      </c>
      <c r="B11" s="7">
        <v>410167</v>
      </c>
      <c r="C11" s="7">
        <f>SUM(C4:C10)</f>
        <v>11254604</v>
      </c>
      <c r="D11" s="7">
        <v>2880242</v>
      </c>
      <c r="E11" s="7">
        <f>SUM(E4:E10)</f>
        <v>8374362</v>
      </c>
      <c r="F11" s="7">
        <f>SUM(F4:F10)</f>
        <v>3151289.12</v>
      </c>
      <c r="G11" s="7">
        <f>SUM(G4:G10)</f>
        <v>271047.12</v>
      </c>
      <c r="H11" s="7">
        <f t="shared" si="3"/>
        <v>462343.63157894736</v>
      </c>
      <c r="I11" s="7">
        <f t="shared" si="4"/>
        <v>3731113.1068421053</v>
      </c>
      <c r="J11" s="7">
        <f t="shared" si="5"/>
        <v>3207505.94</v>
      </c>
      <c r="K11" s="7">
        <v>450518.13</v>
      </c>
      <c r="L11" s="12">
        <f t="shared" si="6"/>
        <v>0.88567410540955849</v>
      </c>
      <c r="M11" s="7">
        <f t="shared" si="7"/>
        <v>52718.772129868572</v>
      </c>
      <c r="N11" s="6">
        <v>8.07</v>
      </c>
      <c r="O11" s="6">
        <v>7.82</v>
      </c>
      <c r="P11" s="6">
        <v>8.77</v>
      </c>
      <c r="Q11" s="6">
        <v>8.89</v>
      </c>
      <c r="R11" s="12">
        <v>0.65890000000000004</v>
      </c>
      <c r="S11" s="12">
        <v>0.64459999999999995</v>
      </c>
      <c r="T11" s="7">
        <f t="shared" si="8"/>
        <v>22523492.440000001</v>
      </c>
      <c r="U11" s="7">
        <f t="shared" si="9"/>
        <v>25430903.198400002</v>
      </c>
      <c r="V11" s="6">
        <v>25</v>
      </c>
      <c r="W11" s="6">
        <v>7</v>
      </c>
      <c r="X11" s="6">
        <f t="shared" si="10"/>
        <v>18</v>
      </c>
    </row>
    <row r="12" spans="1:24" ht="15.75" customHeight="1" thickTop="1" x14ac:dyDescent="0.25">
      <c r="A12" s="10" t="s">
        <v>35</v>
      </c>
      <c r="B12" s="9">
        <v>130800</v>
      </c>
      <c r="C12" s="2">
        <v>3049596</v>
      </c>
      <c r="D12" s="9">
        <v>960342</v>
      </c>
      <c r="E12" s="9">
        <f>C12-D12</f>
        <v>2089254</v>
      </c>
      <c r="F12" s="9">
        <f>C12*W12/V12</f>
        <v>853886.88</v>
      </c>
      <c r="G12" s="9">
        <f>F12-D12</f>
        <v>-106455.12</v>
      </c>
      <c r="H12" s="9">
        <f t="shared" si="3"/>
        <v>116844.94736842105</v>
      </c>
      <c r="I12" s="9">
        <f t="shared" si="4"/>
        <v>482569.63263157895</v>
      </c>
      <c r="J12" s="9">
        <f t="shared" si="5"/>
        <v>485268</v>
      </c>
      <c r="K12" s="9">
        <v>132702</v>
      </c>
      <c r="L12" s="16">
        <f t="shared" si="6"/>
        <v>1.0102978765699213</v>
      </c>
      <c r="M12" s="9">
        <f t="shared" si="7"/>
        <v>11684.494736842105</v>
      </c>
      <c r="N12" s="8">
        <v>4.13</v>
      </c>
      <c r="O12" s="8">
        <v>3.71</v>
      </c>
      <c r="P12" s="8">
        <v>10</v>
      </c>
      <c r="Q12" s="8">
        <v>10.99</v>
      </c>
      <c r="R12" s="11">
        <v>0.73</v>
      </c>
      <c r="S12" s="11">
        <v>0.70310000000000006</v>
      </c>
      <c r="T12" s="9">
        <f t="shared" si="8"/>
        <v>3562868.82</v>
      </c>
      <c r="U12" s="9">
        <f t="shared" si="9"/>
        <v>3526552.8144</v>
      </c>
      <c r="V12" s="8">
        <v>25</v>
      </c>
      <c r="W12" s="8">
        <v>7</v>
      </c>
      <c r="X12" s="8">
        <f t="shared" si="10"/>
        <v>18</v>
      </c>
    </row>
    <row r="13" spans="1:24" ht="15.75" customHeight="1" x14ac:dyDescent="0.25">
      <c r="A13" s="10" t="s">
        <v>36</v>
      </c>
      <c r="B13" s="9">
        <v>15098</v>
      </c>
      <c r="C13" s="9">
        <v>241401</v>
      </c>
      <c r="D13" s="9">
        <v>150095</v>
      </c>
      <c r="E13" s="9">
        <f>C13-D13</f>
        <v>91306</v>
      </c>
      <c r="F13" s="9">
        <f>C13*W13/V13</f>
        <v>67592.28</v>
      </c>
      <c r="G13" s="9">
        <f>F13-D13</f>
        <v>-82502.720000000001</v>
      </c>
      <c r="H13" s="9">
        <f t="shared" si="3"/>
        <v>5600.2105263157891</v>
      </c>
      <c r="I13" s="9">
        <f t="shared" si="4"/>
        <v>38865.461052631581</v>
      </c>
      <c r="J13" s="9">
        <f t="shared" si="5"/>
        <v>111876.18000000001</v>
      </c>
      <c r="K13" s="9">
        <v>27948</v>
      </c>
      <c r="L13" s="16">
        <f t="shared" si="6"/>
        <v>2.3709798686847288</v>
      </c>
      <c r="M13" s="9">
        <f t="shared" si="7"/>
        <v>700.02631578947364</v>
      </c>
      <c r="N13" s="20">
        <v>6.94</v>
      </c>
      <c r="O13" s="18">
        <v>7.41</v>
      </c>
      <c r="P13" s="18">
        <v>8</v>
      </c>
      <c r="Q13" s="18">
        <v>9.1300000000000008</v>
      </c>
      <c r="R13" s="19">
        <v>0.65</v>
      </c>
      <c r="S13" s="11">
        <v>0.33129999999999998</v>
      </c>
      <c r="T13" s="9">
        <f t="shared" si="8"/>
        <v>1112203.95</v>
      </c>
      <c r="U13" s="9">
        <f t="shared" si="9"/>
        <v>469090.42320000002</v>
      </c>
      <c r="V13" s="8">
        <v>25</v>
      </c>
      <c r="W13" s="8">
        <v>7</v>
      </c>
      <c r="X13" s="8">
        <f t="shared" si="10"/>
        <v>18</v>
      </c>
    </row>
    <row r="14" spans="1:24" x14ac:dyDescent="0.25">
      <c r="C14" s="1"/>
    </row>
    <row r="15" spans="1:24" x14ac:dyDescent="0.25">
      <c r="C15" s="2"/>
      <c r="D15" s="2"/>
      <c r="E15" s="1"/>
      <c r="H15" s="2"/>
      <c r="L15" s="1"/>
    </row>
    <row r="16" spans="1:24" ht="15.75" customHeight="1" thickBot="1" x14ac:dyDescent="0.3">
      <c r="A16" s="5" t="s">
        <v>37</v>
      </c>
      <c r="M16" s="1"/>
    </row>
    <row r="17" spans="1:13" ht="61.5" customHeight="1" thickTop="1" thickBot="1" x14ac:dyDescent="0.3">
      <c r="A17" s="6" t="s">
        <v>38</v>
      </c>
      <c r="B17" s="6" t="s">
        <v>39</v>
      </c>
      <c r="C17" s="6" t="s">
        <v>40</v>
      </c>
      <c r="D17" s="6" t="s">
        <v>41</v>
      </c>
      <c r="E17" s="6" t="s">
        <v>42</v>
      </c>
      <c r="F17" s="6" t="s">
        <v>43</v>
      </c>
      <c r="J17" s="1"/>
    </row>
    <row r="18" spans="1:13" ht="15.75" customHeight="1" thickTop="1" x14ac:dyDescent="0.25">
      <c r="A18" s="13">
        <f>C11</f>
        <v>11254604</v>
      </c>
      <c r="B18" s="13">
        <f>D11</f>
        <v>2880242</v>
      </c>
      <c r="C18" s="13">
        <f>QUOTIENT(B11,10000)*10000</f>
        <v>410000</v>
      </c>
      <c r="D18" s="13">
        <f t="shared" ref="D18:D23" si="11">C18*$X$11</f>
        <v>7380000</v>
      </c>
      <c r="E18" s="13">
        <f t="shared" ref="E18:E23" si="12">$D$11+D18</f>
        <v>10260242</v>
      </c>
      <c r="F18" s="13">
        <f t="shared" ref="F18:F23" si="13">$C$11-E18</f>
        <v>994362</v>
      </c>
      <c r="M18" s="1"/>
    </row>
    <row r="19" spans="1:13" x14ac:dyDescent="0.25">
      <c r="A19" s="15" t="s">
        <v>44</v>
      </c>
      <c r="B19" s="14"/>
      <c r="C19" s="13">
        <f>C18+35000</f>
        <v>445000</v>
      </c>
      <c r="D19" s="13">
        <f t="shared" si="11"/>
        <v>8010000</v>
      </c>
      <c r="E19" s="13">
        <f t="shared" si="12"/>
        <v>10890242</v>
      </c>
      <c r="F19" s="13">
        <f t="shared" si="13"/>
        <v>364362</v>
      </c>
      <c r="M19" s="1"/>
    </row>
    <row r="20" spans="1:13" x14ac:dyDescent="0.25">
      <c r="A20" s="15" t="s">
        <v>44</v>
      </c>
      <c r="B20" s="14"/>
      <c r="C20" s="13">
        <f>C19+35000</f>
        <v>480000</v>
      </c>
      <c r="D20" s="13">
        <f t="shared" si="11"/>
        <v>8640000</v>
      </c>
      <c r="E20" s="13">
        <f t="shared" si="12"/>
        <v>11520242</v>
      </c>
      <c r="F20" s="13">
        <f t="shared" si="13"/>
        <v>-265638</v>
      </c>
    </row>
    <row r="21" spans="1:13" x14ac:dyDescent="0.25">
      <c r="A21" s="15" t="s">
        <v>44</v>
      </c>
      <c r="B21" s="14"/>
      <c r="C21" s="13">
        <f>C20+35000</f>
        <v>515000</v>
      </c>
      <c r="D21" s="13">
        <f t="shared" si="11"/>
        <v>9270000</v>
      </c>
      <c r="E21" s="13">
        <f t="shared" si="12"/>
        <v>12150242</v>
      </c>
      <c r="F21" s="13">
        <f t="shared" si="13"/>
        <v>-895638</v>
      </c>
    </row>
    <row r="22" spans="1:13" x14ac:dyDescent="0.25">
      <c r="A22" s="15" t="s">
        <v>44</v>
      </c>
      <c r="B22" s="14"/>
      <c r="C22" s="13">
        <f>C21+35000</f>
        <v>550000</v>
      </c>
      <c r="D22" s="13">
        <f t="shared" si="11"/>
        <v>9900000</v>
      </c>
      <c r="E22" s="13">
        <f t="shared" si="12"/>
        <v>12780242</v>
      </c>
      <c r="F22" s="13">
        <f t="shared" si="13"/>
        <v>-1525638</v>
      </c>
    </row>
    <row r="23" spans="1:13" x14ac:dyDescent="0.25">
      <c r="A23" s="15" t="s">
        <v>44</v>
      </c>
      <c r="B23" s="14"/>
      <c r="C23" s="13">
        <f>C22+35000</f>
        <v>585000</v>
      </c>
      <c r="D23" s="13">
        <f t="shared" si="11"/>
        <v>10530000</v>
      </c>
      <c r="E23" s="13">
        <f t="shared" si="12"/>
        <v>13410242</v>
      </c>
      <c r="F23" s="13">
        <f t="shared" si="13"/>
        <v>-2155638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Mahfuzur Rahman</dc:creator>
  <cp:lastModifiedBy>Md. Mahfuzur Rahman</cp:lastModifiedBy>
  <dcterms:created xsi:type="dcterms:W3CDTF">2015-06-05T18:17:20Z</dcterms:created>
  <dcterms:modified xsi:type="dcterms:W3CDTF">2025-08-11T05:47:03Z</dcterms:modified>
</cp:coreProperties>
</file>