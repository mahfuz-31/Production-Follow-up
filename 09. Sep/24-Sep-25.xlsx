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9. Sep\"/>
    </mc:Choice>
  </mc:AlternateContent>
  <xr:revisionPtr revIDLastSave="0" documentId="13_ncr:1_{5B89A270-B301-4292-86BE-96D31C83D556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X13" i="1"/>
  <c r="T13" i="1"/>
  <c r="J13" i="1"/>
  <c r="F13" i="1"/>
  <c r="U13" i="1" s="1"/>
  <c r="L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J12" i="1" s="1"/>
  <c r="X11" i="1"/>
  <c r="T11" i="1"/>
  <c r="J11" i="1"/>
  <c r="H11" i="1"/>
  <c r="I11" i="1" s="1"/>
  <c r="G11" i="1"/>
  <c r="F11" i="1"/>
  <c r="U11" i="1" s="1"/>
  <c r="E11" i="1"/>
  <c r="X10" i="1"/>
  <c r="H10" i="1" s="1"/>
  <c r="T10" i="1"/>
  <c r="J10" i="1"/>
  <c r="G10" i="1"/>
  <c r="F10" i="1"/>
  <c r="U10" i="1" s="1"/>
  <c r="L10" i="1" s="1"/>
  <c r="E10" i="1"/>
  <c r="X9" i="1"/>
  <c r="T9" i="1"/>
  <c r="J9" i="1"/>
  <c r="F9" i="1"/>
  <c r="G9" i="1" s="1"/>
  <c r="E9" i="1"/>
  <c r="H9" i="1" s="1"/>
  <c r="X8" i="1"/>
  <c r="T8" i="1"/>
  <c r="J8" i="1"/>
  <c r="F8" i="1"/>
  <c r="U8" i="1" s="1"/>
  <c r="E8" i="1"/>
  <c r="H8" i="1" s="1"/>
  <c r="X7" i="1"/>
  <c r="T7" i="1"/>
  <c r="J7" i="1"/>
  <c r="H7" i="1"/>
  <c r="I7" i="1" s="1"/>
  <c r="G7" i="1"/>
  <c r="F7" i="1"/>
  <c r="U7" i="1" s="1"/>
  <c r="E7" i="1"/>
  <c r="X6" i="1"/>
  <c r="H6" i="1" s="1"/>
  <c r="T6" i="1"/>
  <c r="J6" i="1"/>
  <c r="G6" i="1"/>
  <c r="F6" i="1"/>
  <c r="U6" i="1" s="1"/>
  <c r="L6" i="1" s="1"/>
  <c r="E6" i="1"/>
  <c r="X5" i="1"/>
  <c r="T5" i="1"/>
  <c r="J5" i="1"/>
  <c r="F5" i="1"/>
  <c r="G5" i="1" s="1"/>
  <c r="E5" i="1"/>
  <c r="H5" i="1" s="1"/>
  <c r="X4" i="1"/>
  <c r="T4" i="1"/>
  <c r="J4" i="1"/>
  <c r="F4" i="1"/>
  <c r="G4" i="1" s="1"/>
  <c r="E4" i="1"/>
  <c r="E12" i="1" s="1"/>
  <c r="H12" i="1" s="1"/>
  <c r="L8" i="1" l="1"/>
  <c r="M10" i="1"/>
  <c r="I10" i="1"/>
  <c r="I13" i="1"/>
  <c r="M13" i="1"/>
  <c r="M12" i="1"/>
  <c r="I12" i="1"/>
  <c r="I9" i="1"/>
  <c r="M9" i="1"/>
  <c r="L11" i="1"/>
  <c r="I5" i="1"/>
  <c r="M5" i="1"/>
  <c r="L7" i="1"/>
  <c r="M6" i="1"/>
  <c r="I6" i="1"/>
  <c r="M8" i="1"/>
  <c r="I8" i="1"/>
  <c r="D18" i="1"/>
  <c r="M7" i="1"/>
  <c r="U4" i="1"/>
  <c r="L4" i="1" s="1"/>
  <c r="G13" i="1"/>
  <c r="G8" i="1"/>
  <c r="G12" i="1" s="1"/>
  <c r="A18" i="1"/>
  <c r="E18" i="1"/>
  <c r="U5" i="1"/>
  <c r="L5" i="1" s="1"/>
  <c r="U9" i="1"/>
  <c r="L9" i="1" s="1"/>
  <c r="M11" i="1"/>
  <c r="F12" i="1"/>
  <c r="U12" i="1" s="1"/>
  <c r="L12" i="1" s="1"/>
  <c r="C19" i="1"/>
  <c r="H4" i="1"/>
  <c r="F18" i="1"/>
  <c r="M4" i="1" l="1"/>
  <c r="I4" i="1"/>
  <c r="C20" i="1"/>
  <c r="D19" i="1"/>
  <c r="E19" i="1" s="1"/>
  <c r="F19" i="1" s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<sst xmlns="http://schemas.openxmlformats.org/spreadsheetml/2006/main" count="49" uniqueCount="45">
  <si>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</si>
  <si>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</si>
  <si>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24-Sep-25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</si>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</sst>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activeCell="F9" sqref="F9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82030</v>
      </c>
      <c r="C4" s="9">
        <v>2061190</v>
      </c>
      <c r="D4" s="9">
        <v>1503643</v>
      </c>
      <c r="E4" s="9">
        <f t="shared" ref="E4:E11" si="0">C4-D4</f>
        <v>557547</v>
      </c>
      <c r="F4" s="9">
        <f t="shared" ref="F4:F11" si="1">C4*W4/V4</f>
        <v>1648952</v>
      </c>
      <c r="G4" s="9">
        <f t="shared" ref="G4:G11" si="2">F4-D4</f>
        <v>145309</v>
      </c>
      <c r="H4" s="9">
        <f t="shared" ref="H4:H13" si="3">(E4+B4)/(X4+1)</f>
        <v>106596.16666666667</v>
      </c>
      <c r="I4" s="9">
        <f t="shared" ref="I4:I13" si="4">H4*N4</f>
        <v>732315.66500000004</v>
      </c>
      <c r="J4" s="9">
        <f t="shared" ref="J4:J13" si="5">B4*O4</f>
        <v>643115.19999999995</v>
      </c>
      <c r="K4" s="9">
        <v>79626</v>
      </c>
      <c r="L4" s="16">
        <f t="shared" ref="L4:L13" si="6">T4/U4</f>
        <v>1.0406292974452449</v>
      </c>
      <c r="M4" s="9">
        <f t="shared" ref="M4:M13" si="7">H4/P4</f>
        <v>10659.616666666667</v>
      </c>
      <c r="N4" s="8">
        <v>6.87</v>
      </c>
      <c r="O4" s="8">
        <v>7.84</v>
      </c>
      <c r="P4" s="8">
        <v>10</v>
      </c>
      <c r="Q4" s="8">
        <v>9.74</v>
      </c>
      <c r="R4" s="11">
        <v>0.68</v>
      </c>
      <c r="S4" s="11">
        <v>0.70819999999999994</v>
      </c>
      <c r="T4" s="9">
        <f t="shared" ref="T4:T13" si="8">O4*D4</f>
        <v>11788561.119999999</v>
      </c>
      <c r="U4" s="9">
        <f t="shared" ref="U4:U13" si="9">N4*F4</f>
        <v>11328300.24</v>
      </c>
      <c r="V4" s="8">
        <v>25</v>
      </c>
      <c r="W4" s="8">
        <v>20</v>
      </c>
      <c r="X4" s="8">
        <f t="shared" ref="X4:X13" si="10">V4-W4</f>
        <v>5</v>
      </c>
    </row>
    <row r="5" spans="1:24" x14ac:dyDescent="0.25">
      <c r="A5" s="10" t="s">
        <v>28</v>
      </c>
      <c r="B5" s="9">
        <v>12305</v>
      </c>
      <c r="C5" s="9">
        <v>252869</v>
      </c>
      <c r="D5" s="9">
        <v>196065</v>
      </c>
      <c r="E5" s="9">
        <f t="shared" si="0"/>
        <v>56804</v>
      </c>
      <c r="F5" s="9">
        <f t="shared" si="1"/>
        <v>202295.2</v>
      </c>
      <c r="G5" s="9">
        <f t="shared" si="2"/>
        <v>6230.2000000000116</v>
      </c>
      <c r="H5" s="9">
        <f t="shared" si="3"/>
        <v>11518.166666666666</v>
      </c>
      <c r="I5" s="9">
        <f t="shared" si="4"/>
        <v>74176.993333333332</v>
      </c>
      <c r="J5" s="9">
        <f t="shared" si="5"/>
        <v>81582.149999999994</v>
      </c>
      <c r="K5" s="9">
        <v>11655</v>
      </c>
      <c r="L5" s="16">
        <f t="shared" si="6"/>
        <v>0.99779691459567743</v>
      </c>
      <c r="M5" s="17">
        <f t="shared" si="7"/>
        <v>1151.8166666666666</v>
      </c>
      <c r="N5" s="8">
        <v>6.44</v>
      </c>
      <c r="O5" s="8">
        <v>6.63</v>
      </c>
      <c r="P5" s="8">
        <v>10</v>
      </c>
      <c r="Q5" s="8">
        <v>9.51</v>
      </c>
      <c r="R5" s="11">
        <v>0.66</v>
      </c>
      <c r="S5" s="11">
        <v>0.72170000000000001</v>
      </c>
      <c r="T5" s="9">
        <f t="shared" si="8"/>
        <v>1299910.95</v>
      </c>
      <c r="U5" s="9">
        <f t="shared" si="9"/>
        <v>1302781.0880000002</v>
      </c>
      <c r="V5" s="8">
        <v>25</v>
      </c>
      <c r="W5" s="8">
        <v>20</v>
      </c>
      <c r="X5" s="8">
        <f t="shared" si="10"/>
        <v>5</v>
      </c>
    </row>
    <row r="6" spans="1:24" x14ac:dyDescent="0.25">
      <c r="A6" s="10" t="s">
        <v>29</v>
      </c>
      <c r="B6" s="9">
        <v>46171</v>
      </c>
      <c r="C6" s="9">
        <v>1022653</v>
      </c>
      <c r="D6" s="9">
        <v>874443</v>
      </c>
      <c r="E6" s="9">
        <f t="shared" si="0"/>
        <v>148210</v>
      </c>
      <c r="F6" s="9">
        <f t="shared" si="1"/>
        <v>818122.4</v>
      </c>
      <c r="G6" s="9">
        <f t="shared" si="2"/>
        <v>-56320.599999999977</v>
      </c>
      <c r="H6" s="9">
        <f t="shared" si="3"/>
        <v>32396.833333333332</v>
      </c>
      <c r="I6" s="9">
        <f t="shared" si="4"/>
        <v>210903.38499999998</v>
      </c>
      <c r="J6" s="9">
        <f t="shared" si="5"/>
        <v>282566.52</v>
      </c>
      <c r="K6" s="9">
        <v>40381</v>
      </c>
      <c r="L6" s="16">
        <f t="shared" si="6"/>
        <v>1.0048093217162675</v>
      </c>
      <c r="M6" s="9">
        <f t="shared" si="7"/>
        <v>4049.6041666666665</v>
      </c>
      <c r="N6" s="8">
        <v>6.51</v>
      </c>
      <c r="O6" s="8">
        <v>6.12</v>
      </c>
      <c r="P6" s="8">
        <v>8</v>
      </c>
      <c r="Q6" s="8">
        <v>8.36</v>
      </c>
      <c r="R6" s="11">
        <v>0.71799999999999997</v>
      </c>
      <c r="S6" s="11">
        <v>0.74719999999999998</v>
      </c>
      <c r="T6" s="9">
        <f t="shared" si="8"/>
        <v>5351591.16</v>
      </c>
      <c r="U6" s="9">
        <f t="shared" si="9"/>
        <v>5325976.824</v>
      </c>
      <c r="V6" s="8">
        <v>25</v>
      </c>
      <c r="W6" s="8">
        <v>20</v>
      </c>
      <c r="X6" s="8">
        <f t="shared" si="10"/>
        <v>5</v>
      </c>
    </row>
    <row r="7" spans="1:24" x14ac:dyDescent="0.25">
      <c r="A7" s="10" t="s">
        <v>30</v>
      </c>
      <c r="B7" s="9">
        <v>70433</v>
      </c>
      <c r="C7" s="9">
        <v>1740159</v>
      </c>
      <c r="D7" s="9">
        <v>1337585</v>
      </c>
      <c r="E7" s="9">
        <f t="shared" si="0"/>
        <v>402574</v>
      </c>
      <c r="F7" s="9">
        <f t="shared" si="1"/>
        <v>1392127.2</v>
      </c>
      <c r="G7" s="9">
        <f t="shared" si="2"/>
        <v>54542.199999999953</v>
      </c>
      <c r="H7" s="9">
        <f t="shared" si="3"/>
        <v>78834.5</v>
      </c>
      <c r="I7" s="9">
        <f t="shared" si="4"/>
        <v>797805.1399999999</v>
      </c>
      <c r="J7" s="9">
        <f t="shared" si="5"/>
        <v>678974.12</v>
      </c>
      <c r="K7" s="9">
        <v>78056</v>
      </c>
      <c r="L7" s="16">
        <f t="shared" si="6"/>
        <v>0.91524842931133099</v>
      </c>
      <c r="M7" s="9">
        <f t="shared" si="7"/>
        <v>8759.3888888888887</v>
      </c>
      <c r="N7" s="8">
        <v>10.119999999999999</v>
      </c>
      <c r="O7" s="8">
        <v>9.64</v>
      </c>
      <c r="P7" s="8">
        <v>9</v>
      </c>
      <c r="Q7" s="8">
        <v>9.73</v>
      </c>
      <c r="R7" s="11">
        <v>0.58799999999999997</v>
      </c>
      <c r="S7" s="11">
        <v>0.65459999999999996</v>
      </c>
      <c r="T7" s="9">
        <f t="shared" si="8"/>
        <v>12894319.4</v>
      </c>
      <c r="U7" s="9">
        <f t="shared" si="9"/>
        <v>14088327.263999999</v>
      </c>
      <c r="V7" s="8">
        <v>25</v>
      </c>
      <c r="W7" s="8">
        <v>20</v>
      </c>
      <c r="X7" s="8">
        <f t="shared" si="10"/>
        <v>5</v>
      </c>
    </row>
    <row r="8" spans="1:24" x14ac:dyDescent="0.25">
      <c r="A8" s="10" t="s">
        <v>31</v>
      </c>
      <c r="B8" s="9">
        <v>74067</v>
      </c>
      <c r="C8" s="9">
        <v>2149237</v>
      </c>
      <c r="D8" s="9">
        <v>1498264</v>
      </c>
      <c r="E8" s="9">
        <f t="shared" si="0"/>
        <v>650973</v>
      </c>
      <c r="F8" s="9">
        <f t="shared" si="1"/>
        <v>1719389.6</v>
      </c>
      <c r="G8" s="9">
        <f t="shared" si="2"/>
        <v>221125.60000000009</v>
      </c>
      <c r="H8" s="9">
        <f t="shared" si="3"/>
        <v>120840</v>
      </c>
      <c r="I8" s="9">
        <f t="shared" si="4"/>
        <v>889382.40000000002</v>
      </c>
      <c r="J8" s="9">
        <f t="shared" si="5"/>
        <v>539948.43000000005</v>
      </c>
      <c r="K8" s="9">
        <v>79737</v>
      </c>
      <c r="L8" s="16">
        <f t="shared" si="6"/>
        <v>0.86310525928605064</v>
      </c>
      <c r="M8" s="9">
        <f t="shared" si="7"/>
        <v>12084</v>
      </c>
      <c r="N8" s="8">
        <v>7.36</v>
      </c>
      <c r="O8" s="8">
        <v>7.29</v>
      </c>
      <c r="P8" s="8">
        <v>10</v>
      </c>
      <c r="Q8" s="8">
        <v>9.15</v>
      </c>
      <c r="R8" s="11">
        <v>0.64</v>
      </c>
      <c r="S8" s="11">
        <v>0.68079999999999996</v>
      </c>
      <c r="T8" s="9">
        <f t="shared" si="8"/>
        <v>10922344.560000001</v>
      </c>
      <c r="U8" s="9">
        <f t="shared" si="9"/>
        <v>12654707.456000002</v>
      </c>
      <c r="V8" s="8">
        <v>25</v>
      </c>
      <c r="W8" s="8">
        <v>20</v>
      </c>
      <c r="X8" s="8">
        <f t="shared" si="10"/>
        <v>5</v>
      </c>
    </row>
    <row r="9" spans="1:24" x14ac:dyDescent="0.25">
      <c r="A9" s="10" t="s">
        <v>32</v>
      </c>
      <c r="B9" s="9">
        <v>95360</v>
      </c>
      <c r="C9" s="9">
        <v>2425855</v>
      </c>
      <c r="D9" s="9">
        <v>1819010</v>
      </c>
      <c r="E9" s="9">
        <f t="shared" si="0"/>
        <v>606845</v>
      </c>
      <c r="F9" s="9">
        <f t="shared" si="1"/>
        <v>1940684</v>
      </c>
      <c r="G9" s="9">
        <f t="shared" si="2"/>
        <v>121674</v>
      </c>
      <c r="H9" s="9">
        <f t="shared" si="3"/>
        <v>117034.16666666667</v>
      </c>
      <c r="I9" s="9">
        <f t="shared" si="4"/>
        <v>774766.18333333335</v>
      </c>
      <c r="J9" s="9">
        <f t="shared" si="5"/>
        <v>684684.79999999993</v>
      </c>
      <c r="K9" s="9">
        <v>98595</v>
      </c>
      <c r="L9" s="16">
        <f t="shared" si="6"/>
        <v>1.0165920663559485</v>
      </c>
      <c r="M9" s="9">
        <f t="shared" si="7"/>
        <v>11703.416666666668</v>
      </c>
      <c r="N9" s="8">
        <v>6.62</v>
      </c>
      <c r="O9" s="8">
        <v>7.18</v>
      </c>
      <c r="P9" s="8">
        <v>10</v>
      </c>
      <c r="Q9" s="8">
        <v>11.13</v>
      </c>
      <c r="R9" s="11">
        <v>0.68</v>
      </c>
      <c r="S9" s="11">
        <v>0.6744</v>
      </c>
      <c r="T9" s="9">
        <f t="shared" si="8"/>
        <v>13060491.799999999</v>
      </c>
      <c r="U9" s="9">
        <f t="shared" si="9"/>
        <v>12847328.08</v>
      </c>
      <c r="V9" s="8">
        <v>25</v>
      </c>
      <c r="W9" s="8">
        <v>20</v>
      </c>
      <c r="X9" s="8">
        <f t="shared" si="10"/>
        <v>5</v>
      </c>
    </row>
    <row r="10" spans="1:24" ht="14.25" customHeight="1" x14ac:dyDescent="0.25">
      <c r="A10" s="10" t="s">
        <v>33</v>
      </c>
      <c r="B10" s="9">
        <v>106762</v>
      </c>
      <c r="C10" s="9">
        <v>2998611</v>
      </c>
      <c r="D10" s="9">
        <v>1977322</v>
      </c>
      <c r="E10" s="9">
        <f t="shared" si="0"/>
        <v>1021289</v>
      </c>
      <c r="F10" s="9">
        <f t="shared" si="1"/>
        <v>2398888.7999999998</v>
      </c>
      <c r="G10" s="9">
        <f t="shared" si="2"/>
        <v>421566.79999999981</v>
      </c>
      <c r="H10" s="9">
        <f t="shared" si="3"/>
        <v>188008.5</v>
      </c>
      <c r="I10" s="9">
        <f t="shared" si="4"/>
        <v>1677035.82</v>
      </c>
      <c r="J10" s="9">
        <f t="shared" si="5"/>
        <v>904274.14</v>
      </c>
      <c r="K10" s="9">
        <v>118425</v>
      </c>
      <c r="L10" s="16">
        <f t="shared" si="6"/>
        <v>0.78268288572616618</v>
      </c>
      <c r="M10" s="9">
        <f t="shared" si="7"/>
        <v>18800.849999999999</v>
      </c>
      <c r="N10" s="8">
        <v>8.92</v>
      </c>
      <c r="O10" s="8">
        <v>8.4700000000000006</v>
      </c>
      <c r="P10" s="8">
        <v>10</v>
      </c>
      <c r="Q10" s="8">
        <v>8.58</v>
      </c>
      <c r="R10" s="11">
        <v>0.65</v>
      </c>
      <c r="S10" s="11">
        <v>0.6653</v>
      </c>
      <c r="T10" s="9">
        <f t="shared" si="8"/>
        <v>16747917.340000002</v>
      </c>
      <c r="U10" s="9">
        <f t="shared" si="9"/>
        <v>21398088.095999997</v>
      </c>
      <c r="V10" s="8">
        <v>25</v>
      </c>
      <c r="W10" s="8">
        <v>20</v>
      </c>
      <c r="X10" s="8">
        <f t="shared" si="10"/>
        <v>5</v>
      </c>
    </row>
    <row r="11" spans="1:24" ht="14.25" customHeight="1" thickBot="1" x14ac:dyDescent="0.3">
      <c r="A11" s="21" t="s">
        <v>34</v>
      </c>
      <c r="B11" s="22">
        <v>31554</v>
      </c>
      <c r="C11" s="22">
        <v>228632</v>
      </c>
      <c r="D11" s="22">
        <v>193559</v>
      </c>
      <c r="E11" s="9">
        <f t="shared" si="0"/>
        <v>35073</v>
      </c>
      <c r="F11" s="9">
        <f t="shared" si="1"/>
        <v>182905.60000000001</v>
      </c>
      <c r="G11" s="9">
        <f t="shared" si="2"/>
        <v>-10653.399999999994</v>
      </c>
      <c r="H11" s="9">
        <f t="shared" si="3"/>
        <v>11104.5</v>
      </c>
      <c r="I11" s="9">
        <f t="shared" si="4"/>
        <v>101161.995</v>
      </c>
      <c r="J11" s="9">
        <f t="shared" si="5"/>
        <v>159347.69999999998</v>
      </c>
      <c r="K11" s="9">
        <v>50981</v>
      </c>
      <c r="L11" s="16">
        <f t="shared" si="6"/>
        <v>0.58662338073303</v>
      </c>
      <c r="M11" s="9">
        <f t="shared" si="7"/>
        <v>1388.0625</v>
      </c>
      <c r="N11" s="18">
        <v>9.11</v>
      </c>
      <c r="O11" s="18">
        <v>5.05</v>
      </c>
      <c r="P11" s="18">
        <v>8</v>
      </c>
      <c r="Q11" s="18">
        <v>8.36</v>
      </c>
      <c r="R11" s="19">
        <v>0.63</v>
      </c>
      <c r="S11" s="19">
        <v>8.3900000000000002E-2</v>
      </c>
      <c r="T11" s="9">
        <f t="shared" si="8"/>
        <v>977472.95</v>
      </c>
      <c r="U11" s="9">
        <f t="shared" si="9"/>
        <v>1666270.0160000001</v>
      </c>
      <c r="V11" s="18">
        <v>25</v>
      </c>
      <c r="W11" s="18">
        <v>20</v>
      </c>
      <c r="X11" s="8">
        <f t="shared" si="10"/>
        <v>5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518682</v>
      </c>
      <c r="C12" s="7">
        <f t="shared" si="11"/>
        <v>12879206</v>
      </c>
      <c r="D12" s="7">
        <f t="shared" si="11"/>
        <v>9399891</v>
      </c>
      <c r="E12" s="7">
        <f t="shared" si="11"/>
        <v>3479315</v>
      </c>
      <c r="F12" s="7">
        <f t="shared" si="11"/>
        <v>10303364.799999999</v>
      </c>
      <c r="G12" s="7">
        <f t="shared" si="11"/>
        <v>903473.79999999993</v>
      </c>
      <c r="H12" s="7">
        <f t="shared" si="3"/>
        <v>666332.83333333337</v>
      </c>
      <c r="I12" s="7">
        <f t="shared" si="4"/>
        <v>5257366.0549999997</v>
      </c>
      <c r="J12" s="7">
        <f t="shared" si="5"/>
        <v>3774708.2549999999</v>
      </c>
      <c r="K12" s="7">
        <f>SUM(K4:K11)</f>
        <v>557456</v>
      </c>
      <c r="L12" s="12">
        <f t="shared" si="6"/>
        <v>0.84148998544896492</v>
      </c>
      <c r="M12" s="7">
        <f t="shared" si="7"/>
        <v>68694.106529209632</v>
      </c>
      <c r="N12" s="6">
        <v>7.89</v>
      </c>
      <c r="O12" s="6">
        <f>AVERAGE(O4:O11)</f>
        <v>7.2774999999999999</v>
      </c>
      <c r="P12" s="6">
        <v>9.6999999999999993</v>
      </c>
      <c r="Q12" s="6">
        <f>AVERAGE(Q4:Q11)</f>
        <v>9.32</v>
      </c>
      <c r="R12" s="12">
        <v>0.65659999999999996</v>
      </c>
      <c r="S12" s="12">
        <f>AVERAGE(S4:S11)</f>
        <v>0.61701249999999996</v>
      </c>
      <c r="T12" s="7">
        <f t="shared" si="8"/>
        <v>68407706.752499998</v>
      </c>
      <c r="U12" s="7">
        <f t="shared" si="9"/>
        <v>81293548.271999985</v>
      </c>
      <c r="V12" s="6">
        <v>25</v>
      </c>
      <c r="W12" s="6">
        <f>W11</f>
        <v>20</v>
      </c>
      <c r="X12" s="6">
        <f t="shared" si="10"/>
        <v>5</v>
      </c>
    </row>
    <row r="13" spans="1:24" ht="15.75" customHeight="1" thickTop="1" x14ac:dyDescent="0.25">
      <c r="A13" s="10" t="s">
        <v>36</v>
      </c>
      <c r="B13" s="9">
        <v>159910</v>
      </c>
      <c r="C13" s="9">
        <v>3797404</v>
      </c>
      <c r="D13" s="9">
        <v>2906268</v>
      </c>
      <c r="E13" s="9">
        <f>C13-D13</f>
        <v>891136</v>
      </c>
      <c r="F13" s="9">
        <f>C13*W13/V13</f>
        <v>3037923.2</v>
      </c>
      <c r="G13" s="9">
        <f>F13-D13</f>
        <v>131655.20000000019</v>
      </c>
      <c r="H13" s="9">
        <f t="shared" si="3"/>
        <v>175174.33333333334</v>
      </c>
      <c r="I13" s="9">
        <f t="shared" si="4"/>
        <v>711207.79333333333</v>
      </c>
      <c r="J13" s="9">
        <f t="shared" si="5"/>
        <v>649234.6</v>
      </c>
      <c r="K13" s="9">
        <v>165884</v>
      </c>
      <c r="L13" s="16">
        <f t="shared" si="6"/>
        <v>0.95666276224494406</v>
      </c>
      <c r="M13" s="9">
        <f t="shared" si="7"/>
        <v>15924.939393939394</v>
      </c>
      <c r="N13" s="8">
        <v>4.0599999999999996</v>
      </c>
      <c r="O13" s="8">
        <v>4.0599999999999996</v>
      </c>
      <c r="P13" s="8">
        <v>11</v>
      </c>
      <c r="Q13" s="8">
        <v>11.59</v>
      </c>
      <c r="R13" s="11">
        <v>0.78</v>
      </c>
      <c r="S13" s="11">
        <v>0.73060000000000003</v>
      </c>
      <c r="T13" s="9">
        <f t="shared" si="8"/>
        <v>11799448.079999998</v>
      </c>
      <c r="U13" s="9">
        <f t="shared" si="9"/>
        <v>12333968.192</v>
      </c>
      <c r="V13" s="8">
        <v>25</v>
      </c>
      <c r="W13" s="8">
        <v>20</v>
      </c>
      <c r="X13" s="8">
        <f t="shared" si="10"/>
        <v>5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12879206</v>
      </c>
      <c r="B18" s="13">
        <f>D12</f>
        <v>9399891</v>
      </c>
      <c r="C18" s="13">
        <f>QUOTIENT(B12,10000)*10000</f>
        <v>510000</v>
      </c>
      <c r="D18" s="13">
        <f t="shared" ref="D18:D23" si="12">C18*$X$12</f>
        <v>2550000</v>
      </c>
      <c r="E18" s="13">
        <f t="shared" ref="E18:E23" si="13">$D$12+D18</f>
        <v>11949891</v>
      </c>
      <c r="F18" s="13">
        <f t="shared" ref="F18:F23" si="14">$C$12-E18</f>
        <v>929315</v>
      </c>
      <c r="M18" s="1"/>
    </row>
    <row r="19" spans="1:13" x14ac:dyDescent="0.25">
      <c r="A19" s="15" t="s">
        <v>44</v>
      </c>
      <c r="B19" s="14"/>
      <c r="C19" s="13">
        <f>C18+35000</f>
        <v>545000</v>
      </c>
      <c r="D19" s="13">
        <f t="shared" si="12"/>
        <v>2725000</v>
      </c>
      <c r="E19" s="13">
        <f t="shared" si="13"/>
        <v>12124891</v>
      </c>
      <c r="F19" s="13">
        <f t="shared" si="14"/>
        <v>754315</v>
      </c>
      <c r="M19" s="1"/>
    </row>
    <row r="20" spans="1:13" x14ac:dyDescent="0.25">
      <c r="A20" s="15" t="s">
        <v>44</v>
      </c>
      <c r="B20" s="14"/>
      <c r="C20" s="13">
        <f>C19+35000</f>
        <v>580000</v>
      </c>
      <c r="D20" s="13">
        <f t="shared" si="12"/>
        <v>2900000</v>
      </c>
      <c r="E20" s="13">
        <f t="shared" si="13"/>
        <v>12299891</v>
      </c>
      <c r="F20" s="13">
        <f t="shared" si="14"/>
        <v>579315</v>
      </c>
    </row>
    <row r="21" spans="1:13" x14ac:dyDescent="0.25">
      <c r="A21" s="15" t="s">
        <v>44</v>
      </c>
      <c r="B21" s="14"/>
      <c r="C21" s="13">
        <f>C20+35000</f>
        <v>615000</v>
      </c>
      <c r="D21" s="13">
        <f t="shared" si="12"/>
        <v>3075000</v>
      </c>
      <c r="E21" s="13">
        <f t="shared" si="13"/>
        <v>12474891</v>
      </c>
      <c r="F21" s="13">
        <f t="shared" si="14"/>
        <v>404315</v>
      </c>
    </row>
    <row r="22" spans="1:13" x14ac:dyDescent="0.25">
      <c r="A22" s="15" t="s">
        <v>44</v>
      </c>
      <c r="B22" s="14"/>
      <c r="C22" s="13">
        <f>C21+35000</f>
        <v>650000</v>
      </c>
      <c r="D22" s="13">
        <f t="shared" si="12"/>
        <v>3250000</v>
      </c>
      <c r="E22" s="13">
        <f t="shared" si="13"/>
        <v>12649891</v>
      </c>
      <c r="F22" s="13">
        <f t="shared" si="14"/>
        <v>229315</v>
      </c>
    </row>
    <row r="23" spans="1:13" x14ac:dyDescent="0.25">
      <c r="A23" s="15" t="s">
        <v>44</v>
      </c>
      <c r="B23" s="14"/>
      <c r="C23" s="13">
        <f>C22+35000</f>
        <v>685000</v>
      </c>
      <c r="D23" s="13">
        <f t="shared" si="12"/>
        <v>3425000</v>
      </c>
      <c r="E23" s="13">
        <f t="shared" si="13"/>
        <v>12824891</v>
      </c>
      <c r="F23" s="13">
        <f t="shared" si="14"/>
        <v>54315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2025-09-25T05:22:23Z</dcterms:modified>
</cp:coreProperties>
</file>