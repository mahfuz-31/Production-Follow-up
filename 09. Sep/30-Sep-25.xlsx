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09. Sep\"/>
    </mc:Choice>
  </mc:AlternateContent>
  <xr:revisionPtr revIDLastSave="0" documentId="13_ncr:1_{6F8FDA59-3FF0-4314-8CA5-4887055CD9C0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X13" i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J12" i="1" s="1"/>
  <c r="X11" i="1"/>
  <c r="T11" i="1"/>
  <c r="J11" i="1"/>
  <c r="H11" i="1"/>
  <c r="I11" i="1" s="1"/>
  <c r="F11" i="1"/>
  <c r="G11" i="1" s="1"/>
  <c r="E11" i="1"/>
  <c r="X10" i="1"/>
  <c r="H10" i="1" s="1"/>
  <c r="T10" i="1"/>
  <c r="J10" i="1"/>
  <c r="G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U8" i="1" s="1"/>
  <c r="E8" i="1"/>
  <c r="H8" i="1" s="1"/>
  <c r="X7" i="1"/>
  <c r="T7" i="1"/>
  <c r="J7" i="1"/>
  <c r="H7" i="1"/>
  <c r="I7" i="1" s="1"/>
  <c r="F7" i="1"/>
  <c r="G7" i="1" s="1"/>
  <c r="E7" i="1"/>
  <c r="X6" i="1"/>
  <c r="H6" i="1" s="1"/>
  <c r="T6" i="1"/>
  <c r="J6" i="1"/>
  <c r="G6" i="1"/>
  <c r="F6" i="1"/>
  <c r="U6" i="1" s="1"/>
  <c r="L6" i="1" s="1"/>
  <c r="E6" i="1"/>
  <c r="X5" i="1"/>
  <c r="T5" i="1"/>
  <c r="J5" i="1"/>
  <c r="F5" i="1"/>
  <c r="G5" i="1" s="1"/>
  <c r="E5" i="1"/>
  <c r="H5" i="1" s="1"/>
  <c r="X4" i="1"/>
  <c r="T4" i="1"/>
  <c r="J4" i="1"/>
  <c r="F4" i="1"/>
  <c r="G4" i="1" s="1"/>
  <c r="E4" i="1"/>
  <c r="E12" i="1" s="1"/>
  <c r="M8" i="1" l="1"/>
  <c r="I8" i="1"/>
  <c r="L4" i="1"/>
  <c r="I6" i="1"/>
  <c r="M6" i="1"/>
  <c r="H12" i="1"/>
  <c r="L7" i="1"/>
  <c r="I13" i="1"/>
  <c r="M13" i="1"/>
  <c r="I9" i="1"/>
  <c r="M9" i="1"/>
  <c r="I5" i="1"/>
  <c r="M5" i="1"/>
  <c r="L8" i="1"/>
  <c r="I10" i="1"/>
  <c r="M10" i="1"/>
  <c r="D18" i="1"/>
  <c r="U5" i="1"/>
  <c r="L5" i="1" s="1"/>
  <c r="M7" i="1"/>
  <c r="U9" i="1"/>
  <c r="L9" i="1" s="1"/>
  <c r="M11" i="1"/>
  <c r="F12" i="1"/>
  <c r="U12" i="1" s="1"/>
  <c r="L12" i="1" s="1"/>
  <c r="U13" i="1"/>
  <c r="L13" i="1" s="1"/>
  <c r="C19" i="1"/>
  <c r="U4" i="1"/>
  <c r="U7" i="1"/>
  <c r="G8" i="1"/>
  <c r="G12" i="1" s="1"/>
  <c r="U11" i="1"/>
  <c r="L11" i="1" s="1"/>
  <c r="A18" i="1"/>
  <c r="E18" i="1"/>
  <c r="H4" i="1"/>
  <c r="F18" i="1"/>
  <c r="D19" i="1" l="1"/>
  <c r="E19" i="1" s="1"/>
  <c r="F19" i="1" s="1"/>
  <c r="C20" i="1"/>
  <c r="M4" i="1"/>
  <c r="I4" i="1"/>
  <c r="M12" i="1"/>
  <c r="I12" i="1"/>
  <c r="D20" i="1" l="1"/>
  <c r="E20" i="1" s="1"/>
  <c r="F20" i="1" s="1"/>
  <c r="C21" i="1"/>
  <c r="D21" i="1" l="1"/>
  <c r="E21" i="1" s="1"/>
  <c r="F21" i="1" s="1"/>
  <c r="C22" i="1"/>
  <c r="C23" i="1" l="1"/>
  <c r="D23" i="1" s="1"/>
  <c r="E23" i="1" s="1"/>
  <c r="F23" i="1" s="1"/>
  <c r="D22" i="1"/>
  <c r="E22" i="1" s="1"/>
  <c r="F22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<sst xmlns="http://schemas.openxmlformats.org/spreadsheetml/2006/main" count="49" uniqueCount="45">
  <si>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</si>
  <si>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</si>
  <si>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30-Sep-25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</si>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</sst>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L4" sqref="L4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102736</v>
      </c>
      <c r="C4" s="9">
        <v>1979120</v>
      </c>
      <c r="D4" s="9">
        <v>1976803</v>
      </c>
      <c r="E4" s="9">
        <f t="shared" ref="E4:E11" si="0">C4-D4</f>
        <v>2317</v>
      </c>
      <c r="F4" s="9">
        <f t="shared" ref="F4:F11" si="1">C4*W4/V4</f>
        <v>1979120</v>
      </c>
      <c r="G4" s="9">
        <f t="shared" ref="G4:G11" si="2">F4-D4</f>
        <v>2317</v>
      </c>
      <c r="H4" s="9">
        <f t="shared" ref="H4:H13" si="3">(E4+B4)/(X4+1)</f>
        <v>105053</v>
      </c>
      <c r="I4" s="9">
        <f t="shared" ref="I4:I13" si="4">H4*N4</f>
        <v>721714.11</v>
      </c>
      <c r="J4" s="9">
        <f t="shared" ref="J4:J13" si="5">B4*O4</f>
        <v>779766.24</v>
      </c>
      <c r="K4" s="9">
        <v>103937</v>
      </c>
      <c r="L4" s="16">
        <f t="shared" ref="L4:L13" si="6">T4/U4</f>
        <v>1.103510075317317</v>
      </c>
      <c r="M4" s="9">
        <f t="shared" ref="M4:M13" si="7">H4/P4</f>
        <v>10505.3</v>
      </c>
      <c r="N4" s="8">
        <v>6.87</v>
      </c>
      <c r="O4" s="8">
        <v>7.59</v>
      </c>
      <c r="P4" s="8">
        <v>10</v>
      </c>
      <c r="Q4" s="8">
        <v>9.9</v>
      </c>
      <c r="R4" s="11">
        <v>0.68</v>
      </c>
      <c r="S4" s="11">
        <v>0.70950000000000002</v>
      </c>
      <c r="T4" s="9">
        <f t="shared" ref="T4:T13" si="8">O4*D4</f>
        <v>15003934.77</v>
      </c>
      <c r="U4" s="9">
        <f t="shared" ref="U4:U13" si="9">N4*F4</f>
        <v>13596554.4</v>
      </c>
      <c r="V4" s="8">
        <v>25</v>
      </c>
      <c r="W4" s="8">
        <v>25</v>
      </c>
      <c r="X4" s="8">
        <f t="shared" ref="X4:X13" si="10">V4-W4</f>
        <v>0</v>
      </c>
    </row>
    <row r="5" spans="1:24" x14ac:dyDescent="0.25">
      <c r="A5" s="10" t="s">
        <v>28</v>
      </c>
      <c r="B5" s="9">
        <v>10270</v>
      </c>
      <c r="C5" s="9">
        <v>236455</v>
      </c>
      <c r="D5" s="9">
        <v>251270</v>
      </c>
      <c r="E5" s="9">
        <f t="shared" si="0"/>
        <v>-14815</v>
      </c>
      <c r="F5" s="9">
        <f t="shared" si="1"/>
        <v>236455</v>
      </c>
      <c r="G5" s="9">
        <f t="shared" si="2"/>
        <v>-14815</v>
      </c>
      <c r="H5" s="9">
        <f t="shared" si="3"/>
        <v>-4545</v>
      </c>
      <c r="I5" s="9">
        <f t="shared" si="4"/>
        <v>-29269.800000000003</v>
      </c>
      <c r="J5" s="9">
        <f t="shared" si="5"/>
        <v>65625.3</v>
      </c>
      <c r="K5" s="9">
        <v>10356</v>
      </c>
      <c r="L5" s="16">
        <f t="shared" si="6"/>
        <v>1.0544042036020929</v>
      </c>
      <c r="M5" s="17">
        <f t="shared" si="7"/>
        <v>-454.5</v>
      </c>
      <c r="N5" s="8">
        <v>6.44</v>
      </c>
      <c r="O5" s="8">
        <v>6.39</v>
      </c>
      <c r="P5" s="8">
        <v>10</v>
      </c>
      <c r="Q5" s="8">
        <v>9.26</v>
      </c>
      <c r="R5" s="11">
        <v>0.66</v>
      </c>
      <c r="S5" s="11">
        <v>0.72470000000000001</v>
      </c>
      <c r="T5" s="9">
        <f t="shared" si="8"/>
        <v>1605615.2999999998</v>
      </c>
      <c r="U5" s="9">
        <f t="shared" si="9"/>
        <v>1522770.2000000002</v>
      </c>
      <c r="V5" s="8">
        <v>25</v>
      </c>
      <c r="W5" s="8">
        <v>25</v>
      </c>
      <c r="X5" s="8">
        <f t="shared" si="10"/>
        <v>0</v>
      </c>
    </row>
    <row r="6" spans="1:24" x14ac:dyDescent="0.25">
      <c r="A6" s="10" t="s">
        <v>29</v>
      </c>
      <c r="B6" s="9">
        <v>49034</v>
      </c>
      <c r="C6" s="9">
        <v>1106603</v>
      </c>
      <c r="D6" s="9">
        <v>1118334</v>
      </c>
      <c r="E6" s="9">
        <f t="shared" si="0"/>
        <v>-11731</v>
      </c>
      <c r="F6" s="9">
        <f t="shared" si="1"/>
        <v>1106603</v>
      </c>
      <c r="G6" s="9">
        <f t="shared" si="2"/>
        <v>-11731</v>
      </c>
      <c r="H6" s="9">
        <f t="shared" si="3"/>
        <v>37303</v>
      </c>
      <c r="I6" s="9">
        <f t="shared" si="4"/>
        <v>242842.53</v>
      </c>
      <c r="J6" s="9">
        <f t="shared" si="5"/>
        <v>295675.02</v>
      </c>
      <c r="K6" s="9">
        <v>40825</v>
      </c>
      <c r="L6" s="16">
        <f t="shared" si="6"/>
        <v>0.93608655818607689</v>
      </c>
      <c r="M6" s="9">
        <f t="shared" si="7"/>
        <v>4662.875</v>
      </c>
      <c r="N6" s="8">
        <v>6.51</v>
      </c>
      <c r="O6" s="8">
        <v>6.03</v>
      </c>
      <c r="P6" s="8">
        <v>8</v>
      </c>
      <c r="Q6" s="8">
        <v>8.3800000000000008</v>
      </c>
      <c r="R6" s="11">
        <v>0.71799999999999997</v>
      </c>
      <c r="S6" s="11">
        <v>0.74980000000000002</v>
      </c>
      <c r="T6" s="9">
        <f t="shared" si="8"/>
        <v>6743554.0200000005</v>
      </c>
      <c r="U6" s="9">
        <f t="shared" si="9"/>
        <v>7203985.5299999993</v>
      </c>
      <c r="V6" s="8">
        <v>25</v>
      </c>
      <c r="W6" s="8">
        <v>25</v>
      </c>
      <c r="X6" s="8">
        <f t="shared" si="10"/>
        <v>0</v>
      </c>
    </row>
    <row r="7" spans="1:24" x14ac:dyDescent="0.25">
      <c r="A7" s="10" t="s">
        <v>30</v>
      </c>
      <c r="B7" s="9">
        <v>69660</v>
      </c>
      <c r="C7" s="9">
        <v>1693857</v>
      </c>
      <c r="D7" s="9">
        <v>1685146</v>
      </c>
      <c r="E7" s="9">
        <f t="shared" si="0"/>
        <v>8711</v>
      </c>
      <c r="F7" s="9">
        <f t="shared" si="1"/>
        <v>1693857</v>
      </c>
      <c r="G7" s="9">
        <f t="shared" si="2"/>
        <v>8711</v>
      </c>
      <c r="H7" s="9">
        <f t="shared" si="3"/>
        <v>78371</v>
      </c>
      <c r="I7" s="9">
        <f t="shared" si="4"/>
        <v>793114.5199999999</v>
      </c>
      <c r="J7" s="9">
        <f t="shared" si="5"/>
        <v>656197.19999999995</v>
      </c>
      <c r="K7" s="9">
        <v>76637</v>
      </c>
      <c r="L7" s="16">
        <f t="shared" si="6"/>
        <v>0.92604305899881822</v>
      </c>
      <c r="M7" s="9">
        <f t="shared" si="7"/>
        <v>8707.8888888888887</v>
      </c>
      <c r="N7" s="8">
        <v>10.119999999999999</v>
      </c>
      <c r="O7" s="8">
        <v>9.42</v>
      </c>
      <c r="P7" s="8">
        <v>9</v>
      </c>
      <c r="Q7" s="8">
        <v>9.58</v>
      </c>
      <c r="R7" s="11">
        <v>0.58799999999999997</v>
      </c>
      <c r="S7" s="11">
        <v>0.65079999999999993</v>
      </c>
      <c r="T7" s="9">
        <f t="shared" si="8"/>
        <v>15874075.32</v>
      </c>
      <c r="U7" s="9">
        <f t="shared" si="9"/>
        <v>17141832.84</v>
      </c>
      <c r="V7" s="8">
        <v>25</v>
      </c>
      <c r="W7" s="8">
        <v>25</v>
      </c>
      <c r="X7" s="8">
        <f t="shared" si="10"/>
        <v>0</v>
      </c>
    </row>
    <row r="8" spans="1:24" x14ac:dyDescent="0.25">
      <c r="A8" s="10" t="s">
        <v>31</v>
      </c>
      <c r="B8" s="9">
        <v>84000</v>
      </c>
      <c r="C8" s="9">
        <v>1915207</v>
      </c>
      <c r="D8" s="9">
        <v>1907746</v>
      </c>
      <c r="E8" s="9">
        <f t="shared" si="0"/>
        <v>7461</v>
      </c>
      <c r="F8" s="9">
        <f t="shared" si="1"/>
        <v>1915207</v>
      </c>
      <c r="G8" s="9">
        <f t="shared" si="2"/>
        <v>7461</v>
      </c>
      <c r="H8" s="9">
        <f t="shared" si="3"/>
        <v>91461</v>
      </c>
      <c r="I8" s="9">
        <f t="shared" si="4"/>
        <v>673152.96000000008</v>
      </c>
      <c r="J8" s="9">
        <f t="shared" si="5"/>
        <v>609000</v>
      </c>
      <c r="K8" s="9">
        <v>88090</v>
      </c>
      <c r="L8" s="16">
        <f t="shared" si="6"/>
        <v>0.98121690858890231</v>
      </c>
      <c r="M8" s="9">
        <f t="shared" si="7"/>
        <v>9146.1</v>
      </c>
      <c r="N8" s="8">
        <v>7.36</v>
      </c>
      <c r="O8" s="8">
        <v>7.25</v>
      </c>
      <c r="P8" s="8">
        <v>10</v>
      </c>
      <c r="Q8" s="8">
        <v>9.19</v>
      </c>
      <c r="R8" s="11">
        <v>0.64</v>
      </c>
      <c r="S8" s="11">
        <v>0.68290000000000006</v>
      </c>
      <c r="T8" s="9">
        <f t="shared" si="8"/>
        <v>13831158.5</v>
      </c>
      <c r="U8" s="9">
        <f t="shared" si="9"/>
        <v>14095923.520000001</v>
      </c>
      <c r="V8" s="8">
        <v>25</v>
      </c>
      <c r="W8" s="8">
        <v>25</v>
      </c>
      <c r="X8" s="8">
        <f t="shared" si="10"/>
        <v>0</v>
      </c>
    </row>
    <row r="9" spans="1:24" x14ac:dyDescent="0.25">
      <c r="A9" s="10" t="s">
        <v>32</v>
      </c>
      <c r="B9" s="9">
        <v>95116</v>
      </c>
      <c r="C9" s="9">
        <v>2321515</v>
      </c>
      <c r="D9" s="9">
        <v>2272790</v>
      </c>
      <c r="E9" s="9">
        <f t="shared" si="0"/>
        <v>48725</v>
      </c>
      <c r="F9" s="9">
        <f t="shared" si="1"/>
        <v>2321515</v>
      </c>
      <c r="G9" s="9">
        <f t="shared" si="2"/>
        <v>48725</v>
      </c>
      <c r="H9" s="9">
        <f t="shared" si="3"/>
        <v>143841</v>
      </c>
      <c r="I9" s="9">
        <f t="shared" si="4"/>
        <v>952227.42</v>
      </c>
      <c r="J9" s="9">
        <f t="shared" si="5"/>
        <v>684835.20000000007</v>
      </c>
      <c r="K9" s="9">
        <v>101060</v>
      </c>
      <c r="L9" s="16">
        <f t="shared" si="6"/>
        <v>1.0647859765343748</v>
      </c>
      <c r="M9" s="9">
        <f t="shared" si="7"/>
        <v>14384.1</v>
      </c>
      <c r="N9" s="8">
        <v>6.62</v>
      </c>
      <c r="O9" s="8">
        <v>7.2</v>
      </c>
      <c r="P9" s="8">
        <v>10</v>
      </c>
      <c r="Q9" s="8">
        <v>11.17</v>
      </c>
      <c r="R9" s="11">
        <v>0.68</v>
      </c>
      <c r="S9" s="11">
        <v>0.67349999999999999</v>
      </c>
      <c r="T9" s="9">
        <f t="shared" si="8"/>
        <v>16364088</v>
      </c>
      <c r="U9" s="9">
        <f t="shared" si="9"/>
        <v>15368429.300000001</v>
      </c>
      <c r="V9" s="8">
        <v>25</v>
      </c>
      <c r="W9" s="8">
        <v>25</v>
      </c>
      <c r="X9" s="8">
        <f t="shared" si="10"/>
        <v>0</v>
      </c>
    </row>
    <row r="10" spans="1:24" ht="14.25" customHeight="1" x14ac:dyDescent="0.25">
      <c r="A10" s="10" t="s">
        <v>33</v>
      </c>
      <c r="B10" s="9">
        <v>107848</v>
      </c>
      <c r="C10" s="9">
        <v>2571938</v>
      </c>
      <c r="D10" s="9">
        <v>2506088</v>
      </c>
      <c r="E10" s="9">
        <f t="shared" si="0"/>
        <v>65850</v>
      </c>
      <c r="F10" s="9">
        <f t="shared" si="1"/>
        <v>2571938</v>
      </c>
      <c r="G10" s="9">
        <f t="shared" si="2"/>
        <v>65850</v>
      </c>
      <c r="H10" s="9">
        <f t="shared" si="3"/>
        <v>173698</v>
      </c>
      <c r="I10" s="9">
        <f t="shared" si="4"/>
        <v>1549386.16</v>
      </c>
      <c r="J10" s="9">
        <f t="shared" si="5"/>
        <v>899452.32</v>
      </c>
      <c r="K10" s="9">
        <v>119522</v>
      </c>
      <c r="L10" s="16">
        <f t="shared" si="6"/>
        <v>0.91103910346442973</v>
      </c>
      <c r="M10" s="9">
        <f t="shared" si="7"/>
        <v>17369.8</v>
      </c>
      <c r="N10" s="8">
        <v>8.92</v>
      </c>
      <c r="O10" s="8">
        <v>8.34</v>
      </c>
      <c r="P10" s="8">
        <v>10</v>
      </c>
      <c r="Q10" s="8">
        <v>8.56</v>
      </c>
      <c r="R10" s="11">
        <v>0.65</v>
      </c>
      <c r="S10" s="11">
        <v>0.66439999999999999</v>
      </c>
      <c r="T10" s="9">
        <f t="shared" si="8"/>
        <v>20900773.919999998</v>
      </c>
      <c r="U10" s="9">
        <f t="shared" si="9"/>
        <v>22941686.960000001</v>
      </c>
      <c r="V10" s="8">
        <v>25</v>
      </c>
      <c r="W10" s="8">
        <v>25</v>
      </c>
      <c r="X10" s="8">
        <f t="shared" si="10"/>
        <v>0</v>
      </c>
    </row>
    <row r="11" spans="1:24" ht="14.25" customHeight="1" thickBot="1" x14ac:dyDescent="0.3">
      <c r="A11" s="21" t="s">
        <v>34</v>
      </c>
      <c r="B11" s="22">
        <v>22073</v>
      </c>
      <c r="C11" s="22">
        <v>332191</v>
      </c>
      <c r="D11" s="22">
        <v>323696</v>
      </c>
      <c r="E11" s="9">
        <f t="shared" si="0"/>
        <v>8495</v>
      </c>
      <c r="F11" s="9">
        <f t="shared" si="1"/>
        <v>332191</v>
      </c>
      <c r="G11" s="9">
        <f t="shared" si="2"/>
        <v>8495</v>
      </c>
      <c r="H11" s="9">
        <f t="shared" si="3"/>
        <v>30568</v>
      </c>
      <c r="I11" s="9">
        <f t="shared" si="4"/>
        <v>278474.48</v>
      </c>
      <c r="J11" s="9">
        <f t="shared" si="5"/>
        <v>108599.16</v>
      </c>
      <c r="K11" s="9">
        <v>29623</v>
      </c>
      <c r="L11" s="16">
        <f t="shared" si="6"/>
        <v>0.52625495322194749</v>
      </c>
      <c r="M11" s="9">
        <f t="shared" si="7"/>
        <v>3821</v>
      </c>
      <c r="N11" s="18">
        <v>9.11</v>
      </c>
      <c r="O11" s="18">
        <v>4.92</v>
      </c>
      <c r="P11" s="18">
        <v>8</v>
      </c>
      <c r="Q11" s="18">
        <v>8.39</v>
      </c>
      <c r="R11" s="19">
        <v>0.63</v>
      </c>
      <c r="S11" s="19">
        <v>0.1053</v>
      </c>
      <c r="T11" s="9">
        <f t="shared" si="8"/>
        <v>1592584.32</v>
      </c>
      <c r="U11" s="9">
        <f t="shared" si="9"/>
        <v>3026260.01</v>
      </c>
      <c r="V11" s="18">
        <v>25</v>
      </c>
      <c r="W11" s="18">
        <v>25</v>
      </c>
      <c r="X11" s="8">
        <f t="shared" si="10"/>
        <v>0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540737</v>
      </c>
      <c r="C12" s="7">
        <f t="shared" si="11"/>
        <v>12156886</v>
      </c>
      <c r="D12" s="7">
        <f t="shared" si="11"/>
        <v>12041873</v>
      </c>
      <c r="E12" s="7">
        <f t="shared" si="11"/>
        <v>115013</v>
      </c>
      <c r="F12" s="7">
        <f t="shared" si="11"/>
        <v>12156886</v>
      </c>
      <c r="G12" s="7">
        <f t="shared" si="11"/>
        <v>115013</v>
      </c>
      <c r="H12" s="7">
        <f t="shared" si="3"/>
        <v>655750</v>
      </c>
      <c r="I12" s="7">
        <f t="shared" si="4"/>
        <v>5173867.5</v>
      </c>
      <c r="J12" s="7">
        <f t="shared" si="5"/>
        <v>3862214.0225</v>
      </c>
      <c r="K12" s="7">
        <f>SUM(K4:K11)</f>
        <v>570050</v>
      </c>
      <c r="L12" s="12">
        <f t="shared" si="6"/>
        <v>0.89669540499701139</v>
      </c>
      <c r="M12" s="7">
        <f t="shared" si="7"/>
        <v>67603.092783505155</v>
      </c>
      <c r="N12" s="6">
        <v>7.89</v>
      </c>
      <c r="O12" s="6">
        <f>AVERAGE(O4:O11)</f>
        <v>7.1425000000000001</v>
      </c>
      <c r="P12" s="6">
        <v>9.6999999999999993</v>
      </c>
      <c r="Q12" s="6">
        <f>AVERAGE(Q4:Q11)</f>
        <v>9.3037499999999991</v>
      </c>
      <c r="R12" s="12">
        <v>0.65659999999999996</v>
      </c>
      <c r="S12" s="12">
        <f>AVERAGE(S4:S11)</f>
        <v>0.62011249999999996</v>
      </c>
      <c r="T12" s="7">
        <f t="shared" si="8"/>
        <v>86009077.902500004</v>
      </c>
      <c r="U12" s="7">
        <f t="shared" si="9"/>
        <v>95917830.539999992</v>
      </c>
      <c r="V12" s="6">
        <v>25</v>
      </c>
      <c r="W12" s="6">
        <f>W11</f>
        <v>25</v>
      </c>
      <c r="X12" s="6">
        <f t="shared" si="10"/>
        <v>0</v>
      </c>
    </row>
    <row r="13" spans="1:24" ht="15.75" customHeight="1" thickTop="1" x14ac:dyDescent="0.25">
      <c r="A13" s="10" t="s">
        <v>36</v>
      </c>
      <c r="B13" s="9">
        <v>128400</v>
      </c>
      <c r="C13" s="9">
        <v>3705843</v>
      </c>
      <c r="D13" s="9">
        <v>3674343</v>
      </c>
      <c r="E13" s="9">
        <f>C13-D13</f>
        <v>31500</v>
      </c>
      <c r="F13" s="9">
        <f>C13*W13/V13</f>
        <v>3705843</v>
      </c>
      <c r="G13" s="9">
        <f>F13-D13</f>
        <v>31500</v>
      </c>
      <c r="H13" s="9">
        <f t="shared" si="3"/>
        <v>159900</v>
      </c>
      <c r="I13" s="9">
        <f t="shared" si="4"/>
        <v>649193.99999999988</v>
      </c>
      <c r="J13" s="9">
        <f t="shared" si="5"/>
        <v>520020</v>
      </c>
      <c r="K13" s="9">
        <v>119776</v>
      </c>
      <c r="L13" s="16">
        <f t="shared" si="6"/>
        <v>0.98905779173285813</v>
      </c>
      <c r="M13" s="9">
        <f t="shared" si="7"/>
        <v>14536.363636363636</v>
      </c>
      <c r="N13" s="8">
        <v>4.0599999999999996</v>
      </c>
      <c r="O13" s="8">
        <v>4.05</v>
      </c>
      <c r="P13" s="8">
        <v>11</v>
      </c>
      <c r="Q13" s="8">
        <v>11.61</v>
      </c>
      <c r="R13" s="11">
        <v>0.78</v>
      </c>
      <c r="S13" s="11">
        <v>0.73069999999999991</v>
      </c>
      <c r="T13" s="9">
        <f t="shared" si="8"/>
        <v>14881089.149999999</v>
      </c>
      <c r="U13" s="9">
        <f t="shared" si="9"/>
        <v>15045722.579999998</v>
      </c>
      <c r="V13" s="8">
        <v>25</v>
      </c>
      <c r="W13" s="8">
        <v>25</v>
      </c>
      <c r="X13" s="8">
        <f t="shared" si="10"/>
        <v>0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12156886</v>
      </c>
      <c r="B18" s="13">
        <f>D12</f>
        <v>12041873</v>
      </c>
      <c r="C18" s="13">
        <f>QUOTIENT(B12,10000)*10000</f>
        <v>540000</v>
      </c>
      <c r="D18" s="13">
        <f t="shared" ref="D18:D23" si="12">C18*$X$12</f>
        <v>0</v>
      </c>
      <c r="E18" s="13">
        <f t="shared" ref="E18:E23" si="13">$D$12+D18</f>
        <v>12041873</v>
      </c>
      <c r="F18" s="13">
        <f t="shared" ref="F18:F23" si="14">$C$12-E18</f>
        <v>115013</v>
      </c>
      <c r="M18" s="1"/>
    </row>
    <row r="19" spans="1:13" x14ac:dyDescent="0.25">
      <c r="A19" s="15" t="s">
        <v>44</v>
      </c>
      <c r="B19" s="14"/>
      <c r="C19" s="13">
        <f>C18+35000</f>
        <v>575000</v>
      </c>
      <c r="D19" s="13">
        <f t="shared" si="12"/>
        <v>0</v>
      </c>
      <c r="E19" s="13">
        <f t="shared" si="13"/>
        <v>12041873</v>
      </c>
      <c r="F19" s="13">
        <f t="shared" si="14"/>
        <v>115013</v>
      </c>
      <c r="M19" s="1"/>
    </row>
    <row r="20" spans="1:13" x14ac:dyDescent="0.25">
      <c r="A20" s="15" t="s">
        <v>44</v>
      </c>
      <c r="B20" s="14"/>
      <c r="C20" s="13">
        <f>C19+35000</f>
        <v>610000</v>
      </c>
      <c r="D20" s="13">
        <f t="shared" si="12"/>
        <v>0</v>
      </c>
      <c r="E20" s="13">
        <f t="shared" si="13"/>
        <v>12041873</v>
      </c>
      <c r="F20" s="13">
        <f t="shared" si="14"/>
        <v>115013</v>
      </c>
    </row>
    <row r="21" spans="1:13" x14ac:dyDescent="0.25">
      <c r="A21" s="15" t="s">
        <v>44</v>
      </c>
      <c r="B21" s="14"/>
      <c r="C21" s="13">
        <f>C20+35000</f>
        <v>645000</v>
      </c>
      <c r="D21" s="13">
        <f t="shared" si="12"/>
        <v>0</v>
      </c>
      <c r="E21" s="13">
        <f t="shared" si="13"/>
        <v>12041873</v>
      </c>
      <c r="F21" s="13">
        <f t="shared" si="14"/>
        <v>115013</v>
      </c>
    </row>
    <row r="22" spans="1:13" x14ac:dyDescent="0.25">
      <c r="A22" s="15" t="s">
        <v>44</v>
      </c>
      <c r="B22" s="14"/>
      <c r="C22" s="13">
        <f>C21+35000</f>
        <v>680000</v>
      </c>
      <c r="D22" s="13">
        <f t="shared" si="12"/>
        <v>0</v>
      </c>
      <c r="E22" s="13">
        <f t="shared" si="13"/>
        <v>12041873</v>
      </c>
      <c r="F22" s="13">
        <f t="shared" si="14"/>
        <v>115013</v>
      </c>
    </row>
    <row r="23" spans="1:13" x14ac:dyDescent="0.25">
      <c r="A23" s="15" t="s">
        <v>44</v>
      </c>
      <c r="B23" s="14"/>
      <c r="C23" s="13">
        <f>C22+35000</f>
        <v>715000</v>
      </c>
      <c r="D23" s="13">
        <f t="shared" si="12"/>
        <v>0</v>
      </c>
      <c r="E23" s="13">
        <f t="shared" si="13"/>
        <v>12041873</v>
      </c>
      <c r="F23" s="13">
        <f t="shared" si="14"/>
        <v>115013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2025-10-08T03:41:29Z</dcterms:modified>
</cp:coreProperties>
</file>