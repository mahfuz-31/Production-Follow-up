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  <xf numFmtId="2" fontId="6" fillId="2" borderId="1" applyAlignment="1" pivotButton="0" quotePrefix="0" xfId="0">
      <alignment horizontal="center" vertical="center" wrapText="1"/>
    </xf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topLeftCell="E1" workbookViewId="0">
      <selection activeCell="N12" sqref="N12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9.5703125" bestFit="1" customWidth="1" min="14" max="14"/>
    <col width="11.42578125" customWidth="1" min="20" max="20"/>
    <col width="13" customWidth="1" min="21" max="21"/>
  </cols>
  <sheetData>
    <row r="1" ht="29.25" customHeight="1">
      <c r="A1" s="19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03-Jan-26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96940</v>
      </c>
      <c r="C4" s="9" t="n">
        <v>2934984</v>
      </c>
      <c r="D4" s="9" t="n">
        <v>191601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110573</v>
      </c>
      <c r="L4" s="16">
        <f>T4/U4</f>
        <v/>
      </c>
      <c r="M4" s="9">
        <f>H4/P4</f>
        <v/>
      </c>
      <c r="N4" s="8" t="n">
        <v>6.28</v>
      </c>
      <c r="O4" s="8" t="n">
        <v>6.75</v>
      </c>
      <c r="P4" s="8" t="n">
        <v>10</v>
      </c>
      <c r="Q4" s="8" t="n">
        <v>8.74</v>
      </c>
      <c r="R4" s="11" t="n">
        <v>0.71</v>
      </c>
      <c r="S4" s="11" t="inlineStr">
        <is>
          <t>69.64%</t>
        </is>
      </c>
      <c r="T4" s="9">
        <f>O4*D4</f>
        <v/>
      </c>
      <c r="U4" s="9">
        <f>N4*F4</f>
        <v/>
      </c>
      <c r="V4" s="8" t="n">
        <v>26</v>
      </c>
      <c r="W4" s="8" t="n">
        <v>2</v>
      </c>
      <c r="X4" s="8">
        <f>V4-W4</f>
        <v/>
      </c>
    </row>
    <row r="5">
      <c r="A5" s="10" t="inlineStr">
        <is>
          <t>JFL</t>
        </is>
      </c>
      <c r="B5" s="9" t="n">
        <v>44587</v>
      </c>
      <c r="C5" s="9" t="n">
        <v>1496352</v>
      </c>
      <c r="D5" s="9" t="n">
        <v>82525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53388</v>
      </c>
      <c r="L5" s="16">
        <f>T5/U5</f>
        <v/>
      </c>
      <c r="M5" s="9">
        <f>H5/P5</f>
        <v/>
      </c>
      <c r="N5" s="8" t="n">
        <v>6.71</v>
      </c>
      <c r="O5" s="8" t="n">
        <v>5.45</v>
      </c>
      <c r="P5" s="8" t="n">
        <v>10</v>
      </c>
      <c r="Q5" s="8" t="n">
        <v>8.44</v>
      </c>
      <c r="R5" s="11" t="n">
        <v>0.73</v>
      </c>
      <c r="S5" s="11" t="inlineStr">
        <is>
          <t>63.13%</t>
        </is>
      </c>
      <c r="T5" s="9">
        <f>O5*D5</f>
        <v/>
      </c>
      <c r="U5" s="9">
        <f>N5*F5</f>
        <v/>
      </c>
      <c r="V5" s="8" t="n">
        <v>26</v>
      </c>
      <c r="W5" s="8" t="n">
        <v>2</v>
      </c>
      <c r="X5" s="8">
        <f>V5-W5</f>
        <v/>
      </c>
    </row>
    <row r="6">
      <c r="A6" s="10" t="inlineStr">
        <is>
          <t>JKL</t>
        </is>
      </c>
      <c r="B6" s="9" t="n">
        <v>108989</v>
      </c>
      <c r="C6" s="9" t="n">
        <v>2665075</v>
      </c>
      <c r="D6" s="9" t="n">
        <v>217906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142770</v>
      </c>
      <c r="L6" s="16">
        <f>T6/U6</f>
        <v/>
      </c>
      <c r="M6" s="9">
        <f>H6/P6</f>
        <v/>
      </c>
      <c r="N6" s="8" t="n">
        <v>7.28</v>
      </c>
      <c r="O6" s="8" t="n">
        <v>6.34</v>
      </c>
      <c r="P6" s="8" t="n">
        <v>10</v>
      </c>
      <c r="Q6" s="8" t="n">
        <v>9.34</v>
      </c>
      <c r="R6" s="11" t="n">
        <v>0.6214999999999999</v>
      </c>
      <c r="S6" s="11" t="inlineStr">
        <is>
          <t>59.19%</t>
        </is>
      </c>
      <c r="T6" s="9">
        <f>O6*D6</f>
        <v/>
      </c>
      <c r="U6" s="9">
        <f>N6*F6</f>
        <v/>
      </c>
      <c r="V6" s="8" t="n">
        <v>26</v>
      </c>
      <c r="W6" s="8" t="n">
        <v>2</v>
      </c>
      <c r="X6" s="8">
        <f>V6-W6</f>
        <v/>
      </c>
    </row>
    <row r="7">
      <c r="A7" s="10" t="inlineStr">
        <is>
          <t>MFL</t>
        </is>
      </c>
      <c r="B7" s="9" t="n">
        <v>66876</v>
      </c>
      <c r="C7" s="9" t="n">
        <v>2104429</v>
      </c>
      <c r="D7" s="9" t="n">
        <v>132835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85375</v>
      </c>
      <c r="L7" s="16">
        <f>T7/U7</f>
        <v/>
      </c>
      <c r="M7" s="9">
        <f>H7/P7</f>
        <v/>
      </c>
      <c r="N7" s="8" t="n">
        <v>8.1</v>
      </c>
      <c r="O7" s="8" t="n">
        <v>6.46</v>
      </c>
      <c r="P7" s="8" t="n">
        <v>10</v>
      </c>
      <c r="Q7" s="8" t="n">
        <v>8.050000000000001</v>
      </c>
      <c r="R7" s="11" t="n">
        <v>0.6925</v>
      </c>
      <c r="S7" s="11" t="inlineStr">
        <is>
          <t>61.65%</t>
        </is>
      </c>
      <c r="T7" s="9">
        <f>O7*D7</f>
        <v/>
      </c>
      <c r="U7" s="9">
        <f>N7*F7</f>
        <v/>
      </c>
      <c r="V7" s="8" t="n">
        <v>26</v>
      </c>
      <c r="W7" s="8" t="n">
        <v>2</v>
      </c>
      <c r="X7" s="8">
        <f>V7-W7</f>
        <v/>
      </c>
    </row>
    <row r="8">
      <c r="A8" s="10" t="inlineStr">
        <is>
          <t>FFL2</t>
        </is>
      </c>
      <c r="B8" s="9" t="n">
        <v>94095</v>
      </c>
      <c r="C8" s="9" t="n">
        <v>2701433</v>
      </c>
      <c r="D8" s="9" t="n">
        <v>203095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121709</v>
      </c>
      <c r="L8" s="16">
        <f>T8/U8</f>
        <v/>
      </c>
      <c r="M8" s="9">
        <f>H8/P8</f>
        <v/>
      </c>
      <c r="N8" s="8" t="n">
        <v>7.07</v>
      </c>
      <c r="O8" s="8" t="n">
        <v>6.8</v>
      </c>
      <c r="P8" s="8" t="n">
        <v>10</v>
      </c>
      <c r="Q8" s="8" t="n">
        <v>10.36</v>
      </c>
      <c r="R8" s="11" t="n">
        <v>0.6860000000000001</v>
      </c>
      <c r="S8" s="11" t="inlineStr">
        <is>
          <t>57.26%</t>
        </is>
      </c>
      <c r="T8" s="9">
        <f>O8*D8</f>
        <v/>
      </c>
      <c r="U8" s="9">
        <f>N8*F8</f>
        <v/>
      </c>
      <c r="V8" s="8" t="n">
        <v>26</v>
      </c>
      <c r="W8" s="8" t="n">
        <v>2</v>
      </c>
      <c r="X8" s="8">
        <f>V8-W8</f>
        <v/>
      </c>
    </row>
    <row r="9" ht="14.25" customHeight="1">
      <c r="A9" s="10" t="inlineStr">
        <is>
          <t>JKL-U2</t>
        </is>
      </c>
      <c r="B9" s="9" t="n">
        <v>108519</v>
      </c>
      <c r="C9" s="9" t="n">
        <v>3615050</v>
      </c>
      <c r="D9" s="9" t="n">
        <v>208118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123487</v>
      </c>
      <c r="L9" s="16">
        <f>T9/U9</f>
        <v/>
      </c>
      <c r="M9" s="9">
        <f>H9/P9</f>
        <v/>
      </c>
      <c r="N9" s="8" t="n">
        <v>7.67</v>
      </c>
      <c r="O9" s="8" t="n">
        <v>8.15</v>
      </c>
      <c r="P9" s="8" t="n">
        <v>10</v>
      </c>
      <c r="Q9" s="8" t="n">
        <v>8.07</v>
      </c>
      <c r="R9" s="11" t="n">
        <v>0.68</v>
      </c>
      <c r="S9" s="11" t="inlineStr">
        <is>
          <t>70.42%</t>
        </is>
      </c>
      <c r="T9" s="9">
        <f>O9*D9</f>
        <v/>
      </c>
      <c r="U9" s="9">
        <f>N9*F9</f>
        <v/>
      </c>
      <c r="V9" s="8" t="n">
        <v>26</v>
      </c>
      <c r="W9" s="8" t="n">
        <v>2</v>
      </c>
      <c r="X9" s="8">
        <f>V9-W9</f>
        <v/>
      </c>
    </row>
    <row r="10" ht="14.25" customHeight="1">
      <c r="A10" s="10" t="inlineStr">
        <is>
          <t>LIN</t>
        </is>
      </c>
      <c r="B10" s="9" t="n">
        <v>114910</v>
      </c>
      <c r="C10" s="9" t="n">
        <v>3140225</v>
      </c>
      <c r="D10" s="9" t="n">
        <v>239087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122426</v>
      </c>
      <c r="L10" s="16">
        <f>T10/U10</f>
        <v/>
      </c>
      <c r="M10" s="9">
        <f>H10/P10</f>
        <v/>
      </c>
      <c r="N10" s="8" t="n">
        <v>4.15</v>
      </c>
      <c r="O10" s="8" t="n">
        <v>3.58</v>
      </c>
      <c r="P10" s="8" t="n">
        <v>10</v>
      </c>
      <c r="Q10" s="8" t="n">
        <v>8.48</v>
      </c>
      <c r="R10" s="11" t="n">
        <v>0.77</v>
      </c>
      <c r="S10" s="11" t="inlineStr">
        <is>
          <t>69.94%</t>
        </is>
      </c>
      <c r="T10" s="9">
        <f>O10*D10</f>
        <v/>
      </c>
      <c r="U10" s="9">
        <f>N10*F10</f>
        <v/>
      </c>
      <c r="V10" s="8" t="n">
        <v>26</v>
      </c>
      <c r="W10" s="8" t="n">
        <v>2</v>
      </c>
      <c r="X10" s="8">
        <f>V10-W10</f>
        <v/>
      </c>
    </row>
    <row r="11" ht="14.25" customHeight="1" thickBot="1">
      <c r="A11" s="20" t="inlineStr">
        <is>
          <t>GTAL</t>
        </is>
      </c>
      <c r="B11" s="21" t="n">
        <v>26303</v>
      </c>
      <c r="C11" s="21" t="n">
        <v>0</v>
      </c>
      <c r="D11" s="21" t="n">
        <v>44403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42739</v>
      </c>
      <c r="L11" s="16">
        <f>T11/U11</f>
        <v/>
      </c>
      <c r="M11" s="9">
        <f>H11/P11</f>
        <v/>
      </c>
      <c r="N11" s="17" t="n"/>
      <c r="O11" s="17" t="n">
        <v>5.19</v>
      </c>
      <c r="P11" s="17" t="n"/>
      <c r="Q11" s="17" t="n">
        <v>8.109999999999999</v>
      </c>
      <c r="R11" s="18" t="n"/>
      <c r="S11" s="18" t="inlineStr">
        <is>
          <t>46.93%</t>
        </is>
      </c>
      <c r="T11" s="9">
        <f>O11*D11</f>
        <v/>
      </c>
      <c r="U11" s="9">
        <f>N11*F11</f>
        <v/>
      </c>
      <c r="V11" s="8" t="n">
        <v>26</v>
      </c>
      <c r="W11" s="8" t="n">
        <v>2</v>
      </c>
      <c r="X11" s="8">
        <f>V11-W11</f>
        <v/>
      </c>
    </row>
    <row r="12" ht="27.75" customHeight="1" thickBot="1" thickTop="1">
      <c r="A12" s="6" t="inlineStr">
        <is>
          <t>Grand Total</t>
        </is>
      </c>
      <c r="B12" s="7" t="n">
        <v>661219</v>
      </c>
      <c r="C12" s="7">
        <f>SUM(C4:C11)</f>
        <v/>
      </c>
      <c r="D12" s="7" t="n">
        <v>1319570</v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 t="n">
        <v>802467</v>
      </c>
      <c r="L12" s="12">
        <f>T12/U12</f>
        <v/>
      </c>
      <c r="M12" s="7">
        <f>H12/P12</f>
        <v/>
      </c>
      <c r="N12" s="22" t="n">
        <v>6.751428571428571</v>
      </c>
      <c r="O12" s="6" t="n">
        <v>6.22</v>
      </c>
      <c r="P12" s="6" t="n">
        <v>10</v>
      </c>
      <c r="Q12" s="6" t="n">
        <v>8.77</v>
      </c>
      <c r="R12" s="12" t="n">
        <v>0.6112499999999998</v>
      </c>
      <c r="S12" s="12" t="inlineStr">
        <is>
          <t>63.48%</t>
        </is>
      </c>
      <c r="T12" s="7">
        <f>O12*D12</f>
        <v/>
      </c>
      <c r="U12" s="7">
        <f>N12*F12</f>
        <v/>
      </c>
      <c r="V12" s="6" t="n">
        <v>26</v>
      </c>
      <c r="W12" s="6" t="n">
        <v>2</v>
      </c>
      <c r="X12" s="6">
        <f>V12-W12</f>
        <v/>
      </c>
    </row>
    <row r="13" ht="15.75" customHeight="1" thickTop="1"/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2026-01-04T06:47:47Z</dcterms:modified>
  <cp:lastModifiedBy>Md. Mahfuzur Rahman</cp:lastModifiedBy>
</cp:coreProperties>
</file>