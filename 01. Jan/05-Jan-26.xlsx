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810" yWindow="-120" windowWidth="19800" windowHeight="1176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[$-409]d/mmm;@"/>
  </numFmts>
  <fonts count="9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b val="1"/>
      <sz val="11"/>
    </font>
    <font>
      <name val="Calibri"/>
      <family val="2"/>
      <b val="1"/>
      <color theme="1"/>
      <sz val="11"/>
      <scheme val="minor"/>
    </font>
    <font>
      <name val="Calibri"/>
      <family val="2"/>
      <b val="1"/>
      <sz val="11"/>
      <u val="single"/>
    </font>
    <font>
      <name val="Calibri"/>
      <family val="2"/>
      <b val="1"/>
      <color rgb="FFFFFFFF"/>
      <sz val="11"/>
    </font>
    <font>
      <name val="Calibri"/>
      <family val="2"/>
      <color theme="1"/>
      <sz val="11"/>
    </font>
    <font>
      <name val="Playfair Display"/>
      <b val="1"/>
      <sz val="18"/>
    </font>
  </fonts>
  <fills count="3">
    <fill>
      <patternFill/>
    </fill>
    <fill>
      <patternFill patternType="gray125"/>
    </fill>
    <fill>
      <patternFill patternType="solid">
        <fgColor rgb="FF1B770B"/>
        <bgColor rgb="FFFFFF00"/>
      </patternFill>
    </fill>
  </fills>
  <borders count="4">
    <border>
      <left/>
      <right/>
      <top/>
      <bottom/>
      <diagonal/>
    </border>
    <border>
      <left style="thin">
        <color rgb="FFA4A4A4"/>
      </left>
      <right style="thin">
        <color rgb="FFA4A4A4"/>
      </right>
      <top style="double">
        <color auto="1"/>
      </top>
      <bottom style="double">
        <color auto="1"/>
      </bottom>
      <diagonal/>
    </border>
    <border>
      <left style="thin">
        <color rgb="FFA4A4A4"/>
      </left>
      <right style="thin">
        <color rgb="FFA4A4A4"/>
      </right>
      <top style="thin">
        <color rgb="FFA4A4A4"/>
      </top>
      <bottom style="thin">
        <color rgb="FFA4A4A4"/>
      </bottom>
      <diagonal/>
    </border>
    <border>
      <left style="thin">
        <color rgb="FFA4A4A4"/>
      </left>
      <right style="thin">
        <color rgb="FFA4A4A4"/>
      </right>
      <top/>
      <bottom/>
      <diagonal/>
    </border>
  </borders>
  <cellStyleXfs count="2">
    <xf numFmtId="0" fontId="1" fillId="0" borderId="0"/>
    <xf numFmtId="9" fontId="1" fillId="0" borderId="0"/>
  </cellStyleXfs>
  <cellXfs count="23">
    <xf numFmtId="0" fontId="0" fillId="0" borderId="0" pivotButton="0" quotePrefix="0" xfId="0"/>
    <xf numFmtId="3" fontId="0" fillId="0" borderId="0" pivotButton="0" quotePrefix="0" xfId="0"/>
    <xf numFmtId="3" fontId="2" fillId="0" borderId="0" pivotButton="0" quotePrefix="0" xfId="0"/>
    <xf numFmtId="0" fontId="3" fillId="0" borderId="0" pivotButton="0" quotePrefix="0" xfId="0"/>
    <xf numFmtId="164" fontId="3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3" fontId="6" fillId="2" borderId="1" applyAlignment="1" pivotButton="0" quotePrefix="0" xfId="0">
      <alignment horizontal="center" vertical="center" wrapText="1"/>
    </xf>
    <xf numFmtId="0" fontId="0" fillId="0" borderId="2" pivotButton="0" quotePrefix="0" xfId="0"/>
    <xf numFmtId="3" fontId="0" fillId="0" borderId="2" pivotButton="0" quotePrefix="0" xfId="0"/>
    <xf numFmtId="0" fontId="4" fillId="0" borderId="2" pivotButton="0" quotePrefix="0" xfId="0"/>
    <xf numFmtId="9" fontId="0" fillId="0" borderId="2" pivotButton="0" quotePrefix="0" xfId="1"/>
    <xf numFmtId="9" fontId="6" fillId="2" borderId="1" applyAlignment="1" pivotButton="0" quotePrefix="0" xfId="1">
      <alignment horizontal="center" vertical="center" wrapText="1"/>
    </xf>
    <xf numFmtId="3" fontId="7" fillId="0" borderId="2" pivotButton="0" quotePrefix="0" xfId="0"/>
    <xf numFmtId="0" fontId="7" fillId="0" borderId="2" pivotButton="0" quotePrefix="0" xfId="0"/>
    <xf numFmtId="0" fontId="7" fillId="0" borderId="2" applyAlignment="1" pivotButton="0" quotePrefix="0" xfId="0">
      <alignment horizontal="center"/>
    </xf>
    <xf numFmtId="9" fontId="0" fillId="0" borderId="2" applyAlignment="1" pivotButton="0" quotePrefix="0" xfId="1">
      <alignment horizontal="center"/>
    </xf>
    <xf numFmtId="0" fontId="0" fillId="0" borderId="3" pivotButton="0" quotePrefix="0" xfId="0"/>
    <xf numFmtId="9" fontId="0" fillId="0" borderId="3" pivotButton="0" quotePrefix="0" xfId="1"/>
    <xf numFmtId="0" fontId="8" fillId="0" borderId="0" pivotButton="0" quotePrefix="0" xfId="0"/>
    <xf numFmtId="0" fontId="4" fillId="0" borderId="3" pivotButton="0" quotePrefix="0" xfId="0"/>
    <xf numFmtId="3" fontId="0" fillId="0" borderId="3" pivotButton="0" quotePrefix="0" xfId="0"/>
    <xf numFmtId="2" fontId="6" fillId="2" borderId="1" applyAlignment="1" pivotButton="0" quotePrefix="0" xfId="0">
      <alignment horizontal="center" vertical="center" wrapText="1"/>
    </xf>
  </cellXfs>
  <cellStyles count="2">
    <cellStyle name="Normal" xfId="0" builtinId="0"/>
    <cellStyle name="Percent" xfId="1" builtinId="5"/>
  </cellStyles>
  <tableStyles count="1" defaultTableStyle="TableStyleMedium2" defaultPivotStyle="PivotStyleLight16">
    <tableStyle name="Invisible" pivot="0" table="0" count="0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3"/>
  <sheetViews>
    <sheetView tabSelected="1" workbookViewId="0">
      <selection activeCell="C4" sqref="C4:C10"/>
    </sheetView>
  </sheetViews>
  <sheetFormatPr baseColWidth="8" defaultRowHeight="15"/>
  <cols>
    <col width="11.5703125" customWidth="1" min="1" max="1"/>
    <col width="13.140625" customWidth="1" min="2" max="2"/>
    <col width="10.5703125" customWidth="1" min="3" max="3"/>
    <col width="10.7109375" bestFit="1" customWidth="1" min="4" max="4"/>
    <col width="11.140625" customWidth="1" min="5" max="5"/>
    <col width="10.85546875" customWidth="1" min="6" max="6"/>
    <col width="11.28515625" customWidth="1" min="7" max="7"/>
    <col width="12.42578125" customWidth="1" min="8" max="8"/>
    <col width="10.140625" customWidth="1" min="9" max="9"/>
    <col width="10" bestFit="1" customWidth="1" min="10" max="10"/>
    <col width="10.42578125" customWidth="1" min="11" max="11"/>
    <col width="11.5703125" bestFit="1" customWidth="1" min="13" max="13"/>
    <col width="9.5703125" bestFit="1" customWidth="1" min="14" max="14"/>
    <col width="11.42578125" customWidth="1" min="20" max="20"/>
    <col width="13" customWidth="1" min="21" max="21"/>
  </cols>
  <sheetData>
    <row r="1" ht="29.25" customHeight="1">
      <c r="A1" s="19" t="inlineStr">
        <is>
          <t>Plan vs Achievement</t>
        </is>
      </c>
    </row>
    <row r="2" ht="15.75" customHeight="1" thickBot="1">
      <c r="A2" s="3" t="inlineStr">
        <is>
          <t xml:space="preserve">Date: </t>
        </is>
      </c>
      <c r="B2" s="4" t="inlineStr">
        <is>
          <t>05-Jan-26</t>
        </is>
      </c>
    </row>
    <row r="3" ht="76.5" customHeight="1" thickBot="1" thickTop="1">
      <c r="A3" s="6" t="inlineStr">
        <is>
          <t>Production Unit</t>
        </is>
      </c>
      <c r="B3" s="6" t="inlineStr">
        <is>
          <t>QC Pass (Pcs)</t>
        </is>
      </c>
      <c r="C3" s="6" t="inlineStr">
        <is>
          <t>Plan (Pcs)</t>
        </is>
      </c>
      <c r="D3" s="6" t="inlineStr">
        <is>
          <t>Accu. QC Pass</t>
        </is>
      </c>
      <c r="E3" s="6" t="inlineStr">
        <is>
          <t>Plan Balance</t>
        </is>
      </c>
      <c r="F3" s="6" t="inlineStr">
        <is>
          <t>Required Prod upto yesterday</t>
        </is>
      </c>
      <c r="G3" s="6" t="inlineStr">
        <is>
          <t>Back Log upto yesterday</t>
        </is>
      </c>
      <c r="H3" s="6" t="inlineStr">
        <is>
          <t>Average Requirement as per Plan</t>
        </is>
      </c>
      <c r="I3" s="6" t="inlineStr">
        <is>
          <t>Average target in minutes</t>
        </is>
      </c>
      <c r="J3" s="6" t="inlineStr">
        <is>
          <t>QC Pass in minutes</t>
        </is>
      </c>
      <c r="K3" s="6" t="inlineStr">
        <is>
          <t>Factory Target</t>
        </is>
      </c>
      <c r="L3" s="6" t="inlineStr">
        <is>
          <t>Plan Achv % (monthly, minute based)</t>
        </is>
      </c>
      <c r="M3" s="6" t="inlineStr">
        <is>
          <t>Required Hr</t>
        </is>
      </c>
      <c r="N3" s="6" t="inlineStr">
        <is>
          <t>Plan SMV</t>
        </is>
      </c>
      <c r="O3" s="6" t="inlineStr">
        <is>
          <t>Produced SMV</t>
        </is>
      </c>
      <c r="P3" s="6" t="inlineStr">
        <is>
          <t>Plan Hr</t>
        </is>
      </c>
      <c r="Q3" s="6" t="inlineStr">
        <is>
          <t>Produced Hr</t>
        </is>
      </c>
      <c r="R3" s="6" t="inlineStr">
        <is>
          <t>Plan Eff%</t>
        </is>
      </c>
      <c r="S3" s="6" t="inlineStr">
        <is>
          <t>Prod. Eff%</t>
        </is>
      </c>
      <c r="T3" s="6" t="inlineStr">
        <is>
          <t>Accu. Produced Minute</t>
        </is>
      </c>
      <c r="U3" s="6" t="inlineStr">
        <is>
          <t>Total Plan Minute</t>
        </is>
      </c>
      <c r="V3" s="6" t="inlineStr">
        <is>
          <t>Plan day</t>
        </is>
      </c>
      <c r="W3" s="6" t="inlineStr">
        <is>
          <t>Completed Day</t>
        </is>
      </c>
      <c r="X3" s="6" t="inlineStr">
        <is>
          <t>Remaining Days</t>
        </is>
      </c>
    </row>
    <row r="4" ht="15.75" customHeight="1" thickTop="1">
      <c r="A4" s="10" t="inlineStr">
        <is>
          <t>JAL</t>
        </is>
      </c>
      <c r="B4" s="9" t="n">
        <v>105666</v>
      </c>
      <c r="C4" s="9" t="n">
        <v>3014984</v>
      </c>
      <c r="D4" s="9" t="n">
        <v>393844</v>
      </c>
      <c r="E4" s="9">
        <f>C4-D4</f>
        <v/>
      </c>
      <c r="F4" s="9">
        <f>C4*W4/V4</f>
        <v/>
      </c>
      <c r="G4" s="9">
        <f>F4-D4</f>
        <v/>
      </c>
      <c r="H4" s="9">
        <f>(E4+B4)/(X4+1)</f>
        <v/>
      </c>
      <c r="I4" s="9">
        <f>H4*N4</f>
        <v/>
      </c>
      <c r="J4" s="9">
        <f>B4*O4</f>
        <v/>
      </c>
      <c r="K4" s="9" t="n">
        <v>117968</v>
      </c>
      <c r="L4" s="16">
        <f>T4/U4</f>
        <v/>
      </c>
      <c r="M4" s="9">
        <f>H4/P4</f>
        <v/>
      </c>
      <c r="N4" s="8" t="n">
        <v>6.28</v>
      </c>
      <c r="O4" s="8" t="n">
        <v>6.7</v>
      </c>
      <c r="P4" s="8" t="n">
        <v>10</v>
      </c>
      <c r="Q4" s="8" t="n">
        <v>9.31</v>
      </c>
      <c r="R4" s="11" t="n">
        <v>0.71</v>
      </c>
      <c r="S4" s="11" t="inlineStr">
        <is>
          <t>69.78%</t>
        </is>
      </c>
      <c r="T4" s="9">
        <f>O4*D4</f>
        <v/>
      </c>
      <c r="U4" s="9">
        <f>N4*F4</f>
        <v/>
      </c>
      <c r="V4" s="8" t="n">
        <v>26</v>
      </c>
      <c r="W4" s="8" t="n">
        <v>4</v>
      </c>
      <c r="X4" s="8">
        <f>V4-W4</f>
        <v/>
      </c>
    </row>
    <row r="5">
      <c r="A5" s="10" t="inlineStr">
        <is>
          <t>JFL</t>
        </is>
      </c>
      <c r="B5" s="9" t="n">
        <v>48933</v>
      </c>
      <c r="C5" s="9" t="n">
        <v>1496352</v>
      </c>
      <c r="D5" s="9" t="n">
        <v>181859</v>
      </c>
      <c r="E5" s="9">
        <f>C5-D5</f>
        <v/>
      </c>
      <c r="F5" s="9">
        <f>C5*W5/V5</f>
        <v/>
      </c>
      <c r="G5" s="9">
        <f>F5-D5</f>
        <v/>
      </c>
      <c r="H5" s="9">
        <f>(E5+B5)/(X5+1)</f>
        <v/>
      </c>
      <c r="I5" s="9">
        <f>H5*N5</f>
        <v/>
      </c>
      <c r="J5" s="9">
        <f>B5*O5</f>
        <v/>
      </c>
      <c r="K5" s="9" t="n">
        <v>56764</v>
      </c>
      <c r="L5" s="16">
        <f>T5/U5</f>
        <v/>
      </c>
      <c r="M5" s="9">
        <f>H5/P5</f>
        <v/>
      </c>
      <c r="N5" s="8" t="n">
        <v>6.71</v>
      </c>
      <c r="O5" s="8" t="n">
        <v>5.49</v>
      </c>
      <c r="P5" s="8" t="n">
        <v>10</v>
      </c>
      <c r="Q5" s="8" t="n">
        <v>9.01</v>
      </c>
      <c r="R5" s="11" t="n">
        <v>0.73</v>
      </c>
      <c r="S5" s="11" t="inlineStr">
        <is>
          <t>65.53%</t>
        </is>
      </c>
      <c r="T5" s="9">
        <f>O5*D5</f>
        <v/>
      </c>
      <c r="U5" s="9">
        <f>N5*F5</f>
        <v/>
      </c>
      <c r="V5" s="8" t="n">
        <v>26</v>
      </c>
      <c r="W5" s="8" t="n">
        <v>4</v>
      </c>
      <c r="X5" s="8">
        <f>V5-W5</f>
        <v/>
      </c>
    </row>
    <row r="6">
      <c r="A6" s="10" t="inlineStr">
        <is>
          <t>JKL</t>
        </is>
      </c>
      <c r="B6" s="9" t="n">
        <v>109472</v>
      </c>
      <c r="C6" s="9" t="n">
        <v>2665075</v>
      </c>
      <c r="D6" s="9" t="n">
        <v>435903</v>
      </c>
      <c r="E6" s="9">
        <f>C6-D6</f>
        <v/>
      </c>
      <c r="F6" s="9">
        <f>C6*W6/V6</f>
        <v/>
      </c>
      <c r="G6" s="9">
        <f>F6-D6</f>
        <v/>
      </c>
      <c r="H6" s="9">
        <f>(E6+B6)/(X6+1)</f>
        <v/>
      </c>
      <c r="I6" s="9">
        <f>H6*N6</f>
        <v/>
      </c>
      <c r="J6" s="9">
        <f>B6*O6</f>
        <v/>
      </c>
      <c r="K6" s="9" t="n">
        <v>133521</v>
      </c>
      <c r="L6" s="16">
        <f>T6/U6</f>
        <v/>
      </c>
      <c r="M6" s="9">
        <f>H6/P6</f>
        <v/>
      </c>
      <c r="N6" s="8" t="n">
        <v>7.28</v>
      </c>
      <c r="O6" s="8" t="n">
        <v>6.49</v>
      </c>
      <c r="P6" s="8" t="n">
        <v>10</v>
      </c>
      <c r="Q6" s="8" t="n">
        <v>9.99</v>
      </c>
      <c r="R6" s="11" t="n">
        <v>0.6214999999999999</v>
      </c>
      <c r="S6" s="11" t="inlineStr">
        <is>
          <t>62.29%</t>
        </is>
      </c>
      <c r="T6" s="9">
        <f>O6*D6</f>
        <v/>
      </c>
      <c r="U6" s="9">
        <f>N6*F6</f>
        <v/>
      </c>
      <c r="V6" s="8" t="n">
        <v>26</v>
      </c>
      <c r="W6" s="8" t="n">
        <v>4</v>
      </c>
      <c r="X6" s="8">
        <f>V6-W6</f>
        <v/>
      </c>
    </row>
    <row r="7">
      <c r="A7" s="10" t="inlineStr">
        <is>
          <t>MFL</t>
        </is>
      </c>
      <c r="B7" s="9" t="n">
        <v>58950</v>
      </c>
      <c r="C7" s="9" t="n">
        <v>2104429</v>
      </c>
      <c r="D7" s="9" t="n">
        <v>253635</v>
      </c>
      <c r="E7" s="9">
        <f>C7-D7</f>
        <v/>
      </c>
      <c r="F7" s="9">
        <f>C7*W7/V7</f>
        <v/>
      </c>
      <c r="G7" s="9">
        <f>F7-D7</f>
        <v/>
      </c>
      <c r="H7" s="9">
        <f>(E7+B7)/(X7+1)</f>
        <v/>
      </c>
      <c r="I7" s="9">
        <f>H7*N7</f>
        <v/>
      </c>
      <c r="J7" s="9">
        <f>B7*O7</f>
        <v/>
      </c>
      <c r="K7" s="9" t="n">
        <v>81169</v>
      </c>
      <c r="L7" s="16">
        <f>T7/U7</f>
        <v/>
      </c>
      <c r="M7" s="9">
        <f>H7/P7</f>
        <v/>
      </c>
      <c r="N7" s="8" t="n">
        <v>8.1</v>
      </c>
      <c r="O7" s="8" t="n">
        <v>6.65</v>
      </c>
      <c r="P7" s="8" t="n">
        <v>10</v>
      </c>
      <c r="Q7" s="8" t="n">
        <v>8.130000000000001</v>
      </c>
      <c r="R7" s="11" t="n">
        <v>0.6925</v>
      </c>
      <c r="S7" s="11" t="inlineStr">
        <is>
          <t>60.14%</t>
        </is>
      </c>
      <c r="T7" s="9">
        <f>O7*D7</f>
        <v/>
      </c>
      <c r="U7" s="9">
        <f>N7*F7</f>
        <v/>
      </c>
      <c r="V7" s="8" t="n">
        <v>26</v>
      </c>
      <c r="W7" s="8" t="n">
        <v>4</v>
      </c>
      <c r="X7" s="8">
        <f>V7-W7</f>
        <v/>
      </c>
    </row>
    <row r="8">
      <c r="A8" s="10" t="inlineStr">
        <is>
          <t>FFL2</t>
        </is>
      </c>
      <c r="B8" s="9" t="n">
        <v>86568</v>
      </c>
      <c r="C8" s="9" t="n">
        <v>2771433</v>
      </c>
      <c r="D8" s="9" t="n">
        <v>385128</v>
      </c>
      <c r="E8" s="9">
        <f>C8-D8</f>
        <v/>
      </c>
      <c r="F8" s="9">
        <f>C8*W8/V8</f>
        <v/>
      </c>
      <c r="G8" s="9">
        <f>F8-D8</f>
        <v/>
      </c>
      <c r="H8" s="9">
        <f>(E8+B8)/(X8+1)</f>
        <v/>
      </c>
      <c r="I8" s="9">
        <f>H8*N8</f>
        <v/>
      </c>
      <c r="J8" s="9">
        <f>B8*O8</f>
        <v/>
      </c>
      <c r="K8" s="9" t="n">
        <v>108938</v>
      </c>
      <c r="L8" s="16">
        <f>T8/U8</f>
        <v/>
      </c>
      <c r="M8" s="9">
        <f>H8/P8</f>
        <v/>
      </c>
      <c r="N8" s="8" t="n">
        <v>7.07</v>
      </c>
      <c r="O8" s="8" t="n">
        <v>7.05</v>
      </c>
      <c r="P8" s="8" t="n">
        <v>10</v>
      </c>
      <c r="Q8" s="8" t="n">
        <v>11.23</v>
      </c>
      <c r="R8" s="11" t="n">
        <v>0.6860000000000001</v>
      </c>
      <c r="S8" s="11" t="inlineStr">
        <is>
          <t>60.65%</t>
        </is>
      </c>
      <c r="T8" s="9">
        <f>O8*D8</f>
        <v/>
      </c>
      <c r="U8" s="9">
        <f>N8*F8</f>
        <v/>
      </c>
      <c r="V8" s="8" t="n">
        <v>26</v>
      </c>
      <c r="W8" s="8" t="n">
        <v>4</v>
      </c>
      <c r="X8" s="8">
        <f>V8-W8</f>
        <v/>
      </c>
    </row>
    <row r="9" ht="14.25" customHeight="1">
      <c r="A9" s="10" t="inlineStr">
        <is>
          <t>JKL-U2</t>
        </is>
      </c>
      <c r="B9" s="9" t="n">
        <v>106660</v>
      </c>
      <c r="C9" s="9" t="n">
        <v>3693050</v>
      </c>
      <c r="D9" s="9" t="n">
        <v>422745</v>
      </c>
      <c r="E9" s="9">
        <f>C9-D9</f>
        <v/>
      </c>
      <c r="F9" s="9">
        <f>C9*W9/V9</f>
        <v/>
      </c>
      <c r="G9" s="9">
        <f>F9-D9</f>
        <v/>
      </c>
      <c r="H9" s="9">
        <f>(E9+B9)/(X9+1)</f>
        <v/>
      </c>
      <c r="I9" s="9">
        <f>H9*N9</f>
        <v/>
      </c>
      <c r="J9" s="9">
        <f>B9*O9</f>
        <v/>
      </c>
      <c r="K9" s="9" t="n">
        <v>121324</v>
      </c>
      <c r="L9" s="16">
        <f>T9/U9</f>
        <v/>
      </c>
      <c r="M9" s="9">
        <f>H9/P9</f>
        <v/>
      </c>
      <c r="N9" s="8" t="n">
        <v>7.67</v>
      </c>
      <c r="O9" s="8" t="n">
        <v>8.130000000000001</v>
      </c>
      <c r="P9" s="8" t="n">
        <v>10</v>
      </c>
      <c r="Q9" s="8" t="n">
        <v>8.26</v>
      </c>
      <c r="R9" s="11" t="n">
        <v>0.68</v>
      </c>
      <c r="S9" s="11" t="inlineStr">
        <is>
          <t>70.14%</t>
        </is>
      </c>
      <c r="T9" s="9">
        <f>O9*D9</f>
        <v/>
      </c>
      <c r="U9" s="9">
        <f>N9*F9</f>
        <v/>
      </c>
      <c r="V9" s="8" t="n">
        <v>26</v>
      </c>
      <c r="W9" s="8" t="n">
        <v>4</v>
      </c>
      <c r="X9" s="8">
        <f>V9-W9</f>
        <v/>
      </c>
    </row>
    <row r="10" ht="14.25" customHeight="1">
      <c r="A10" s="10" t="inlineStr">
        <is>
          <t>LIN</t>
        </is>
      </c>
      <c r="B10" s="9" t="n">
        <v>109890</v>
      </c>
      <c r="C10" s="9" t="n">
        <v>3140225</v>
      </c>
      <c r="D10" s="9" t="n">
        <v>455847</v>
      </c>
      <c r="E10" s="9">
        <f>C10-D10</f>
        <v/>
      </c>
      <c r="F10" s="9">
        <f>C10*W10/V10</f>
        <v/>
      </c>
      <c r="G10" s="9">
        <f>F10-D10</f>
        <v/>
      </c>
      <c r="H10" s="9">
        <f>(E10+B10)/(X10+1)</f>
        <v/>
      </c>
      <c r="I10" s="9">
        <f>H10*N10</f>
        <v/>
      </c>
      <c r="J10" s="9">
        <f>B10*O10</f>
        <v/>
      </c>
      <c r="K10" s="9" t="n">
        <v>119725</v>
      </c>
      <c r="L10" s="16">
        <f>T10/U10</f>
        <v/>
      </c>
      <c r="M10" s="9">
        <f>H10/P10</f>
        <v/>
      </c>
      <c r="N10" s="8" t="n">
        <v>4.15</v>
      </c>
      <c r="O10" s="8" t="n">
        <v>3.61</v>
      </c>
      <c r="P10" s="8" t="n">
        <v>10</v>
      </c>
      <c r="Q10" s="8" t="n">
        <v>8.48</v>
      </c>
      <c r="R10" s="11" t="n">
        <v>0.77</v>
      </c>
      <c r="S10" s="11" t="inlineStr">
        <is>
          <t>72.99%</t>
        </is>
      </c>
      <c r="T10" s="9">
        <f>O10*D10</f>
        <v/>
      </c>
      <c r="U10" s="9">
        <f>N10*F10</f>
        <v/>
      </c>
      <c r="V10" s="8" t="n">
        <v>26</v>
      </c>
      <c r="W10" s="8" t="n">
        <v>4</v>
      </c>
      <c r="X10" s="8">
        <f>V10-W10</f>
        <v/>
      </c>
    </row>
    <row r="11" ht="14.25" customHeight="1" thickBot="1">
      <c r="A11" s="20" t="inlineStr">
        <is>
          <t>GTAL</t>
        </is>
      </c>
      <c r="B11" s="21" t="n">
        <v>13098</v>
      </c>
      <c r="C11" s="21" t="n">
        <v>0</v>
      </c>
      <c r="D11" s="21" t="n">
        <v>82122</v>
      </c>
      <c r="E11" s="9">
        <f>C11-D11</f>
        <v/>
      </c>
      <c r="F11" s="9">
        <f>C11*W11/V11</f>
        <v/>
      </c>
      <c r="G11" s="9">
        <f>F11-D11</f>
        <v/>
      </c>
      <c r="H11" s="9">
        <f>(E11+B11)/(X11+1)</f>
        <v/>
      </c>
      <c r="I11" s="9">
        <f>H11*N11</f>
        <v/>
      </c>
      <c r="J11" s="9">
        <f>B11*O11</f>
        <v/>
      </c>
      <c r="K11" s="9" t="n">
        <v>36191</v>
      </c>
      <c r="L11" s="16">
        <f>T11/U11</f>
        <v/>
      </c>
      <c r="M11" s="9">
        <f>H11/P11</f>
        <v/>
      </c>
      <c r="N11" s="17" t="n"/>
      <c r="O11" s="17" t="n">
        <v>5.21</v>
      </c>
      <c r="P11" s="17" t="n"/>
      <c r="Q11" s="17" t="n">
        <v>8.050000000000001</v>
      </c>
      <c r="R11" s="18" t="n"/>
      <c r="S11" s="18" t="inlineStr">
        <is>
          <t>43.94%</t>
        </is>
      </c>
      <c r="T11" s="9">
        <f>O11*D11</f>
        <v/>
      </c>
      <c r="U11" s="9">
        <f>N11*F11</f>
        <v/>
      </c>
      <c r="V11" s="8" t="n">
        <v>26</v>
      </c>
      <c r="W11" s="8" t="n">
        <v>4</v>
      </c>
      <c r="X11" s="8">
        <f>V11-W11</f>
        <v/>
      </c>
    </row>
    <row r="12" ht="27.75" customHeight="1" thickBot="1" thickTop="1">
      <c r="A12" s="6" t="inlineStr">
        <is>
          <t>Grand Total</t>
        </is>
      </c>
      <c r="B12" s="7" t="n">
        <v>639237</v>
      </c>
      <c r="C12" s="7">
        <f>SUM(C4:C11)</f>
        <v/>
      </c>
      <c r="D12" s="7" t="n">
        <v>2611083</v>
      </c>
      <c r="E12" s="7">
        <f>SUM(E4:E11)</f>
        <v/>
      </c>
      <c r="F12" s="7">
        <f>SUM(F4:F11)</f>
        <v/>
      </c>
      <c r="G12" s="7">
        <f>SUM(G4:G11)</f>
        <v/>
      </c>
      <c r="H12" s="7">
        <f>(E12+B12)/(X12+1)</f>
        <v/>
      </c>
      <c r="I12" s="7">
        <f>H12*N12</f>
        <v/>
      </c>
      <c r="J12" s="7">
        <f>B12*O12</f>
        <v/>
      </c>
      <c r="K12" s="7" t="n">
        <v>775600</v>
      </c>
      <c r="L12" s="12">
        <f>T12/U12</f>
        <v/>
      </c>
      <c r="M12" s="7">
        <f>H12/P12</f>
        <v/>
      </c>
      <c r="N12" s="22" t="n">
        <v>6.751428571428571</v>
      </c>
      <c r="O12" s="6" t="n">
        <v>6.3</v>
      </c>
      <c r="P12" s="6" t="n">
        <v>10</v>
      </c>
      <c r="Q12" s="6" t="n">
        <v>9.15</v>
      </c>
      <c r="R12" s="12" t="n">
        <v>0.6112499999999998</v>
      </c>
      <c r="S12" s="12" t="inlineStr">
        <is>
          <t>64.85%</t>
        </is>
      </c>
      <c r="T12" s="7">
        <f>O12*D12</f>
        <v/>
      </c>
      <c r="U12" s="7">
        <f>N12*F12</f>
        <v/>
      </c>
      <c r="V12" s="6" t="n">
        <v>26</v>
      </c>
      <c r="W12" s="6" t="n">
        <v>4</v>
      </c>
      <c r="X12" s="6">
        <f>V12-W12</f>
        <v/>
      </c>
    </row>
    <row r="13" ht="15.75" customHeight="1" thickTop="1"/>
    <row r="14">
      <c r="C14" s="1" t="n"/>
    </row>
    <row r="15">
      <c r="C15" s="2" t="n"/>
      <c r="D15" s="2" t="n"/>
      <c r="E15" s="1" t="n"/>
      <c r="H15" s="2" t="n"/>
      <c r="L15" s="1" t="n"/>
    </row>
    <row r="16" ht="15.75" customHeight="1" thickBot="1">
      <c r="A16" s="5" t="inlineStr">
        <is>
          <t>Forecast excluding Lingerie:</t>
        </is>
      </c>
      <c r="M16" s="1" t="n"/>
    </row>
    <row r="17" ht="61.5" customHeight="1" thickBot="1" thickTop="1">
      <c r="A17" s="6" t="inlineStr">
        <is>
          <t>Plan Qty</t>
        </is>
      </c>
      <c r="B17" s="6" t="inlineStr">
        <is>
          <t>Production in Completed days</t>
        </is>
      </c>
      <c r="C17" s="6" t="inlineStr">
        <is>
          <t>Estimated Production/day</t>
        </is>
      </c>
      <c r="D17" s="6" t="inlineStr">
        <is>
          <t>Remaining days Possible Production</t>
        </is>
      </c>
      <c r="E17" s="6" t="inlineStr">
        <is>
          <t>Forecasted production</t>
        </is>
      </c>
      <c r="F17" s="6" t="inlineStr">
        <is>
          <t>Backlog from plan</t>
        </is>
      </c>
      <c r="J17" s="1" t="n"/>
    </row>
    <row r="18" ht="15.75" customHeight="1" thickTop="1">
      <c r="A18" s="13">
        <f>C12</f>
        <v/>
      </c>
      <c r="B18" s="13">
        <f>D12</f>
        <v/>
      </c>
      <c r="C18" s="13">
        <f>QUOTIENT(B12,10000)*10000</f>
        <v/>
      </c>
      <c r="D18" s="13">
        <f>C18*$X$12</f>
        <v/>
      </c>
      <c r="E18" s="13">
        <f>$D$12+D18</f>
        <v/>
      </c>
      <c r="F18" s="13">
        <f>$C$12-E18</f>
        <v/>
      </c>
      <c r="M18" s="1" t="n"/>
    </row>
    <row r="19">
      <c r="A19" s="15" t="inlineStr">
        <is>
          <t>-</t>
        </is>
      </c>
      <c r="B19" s="14" t="n"/>
      <c r="C19" s="13">
        <f>C18+35000</f>
        <v/>
      </c>
      <c r="D19" s="13">
        <f>C19*$X$12</f>
        <v/>
      </c>
      <c r="E19" s="13">
        <f>$D$12+D19</f>
        <v/>
      </c>
      <c r="F19" s="13">
        <f>$C$12-E19</f>
        <v/>
      </c>
      <c r="M19" s="1" t="n"/>
    </row>
    <row r="20">
      <c r="A20" s="15" t="inlineStr">
        <is>
          <t>-</t>
        </is>
      </c>
      <c r="B20" s="14" t="n"/>
      <c r="C20" s="13">
        <f>C19+35000</f>
        <v/>
      </c>
      <c r="D20" s="13">
        <f>C20*$X$12</f>
        <v/>
      </c>
      <c r="E20" s="13">
        <f>$D$12+D20</f>
        <v/>
      </c>
      <c r="F20" s="13">
        <f>$C$12-E20</f>
        <v/>
      </c>
    </row>
    <row r="21">
      <c r="A21" s="15" t="inlineStr">
        <is>
          <t>-</t>
        </is>
      </c>
      <c r="B21" s="14" t="n"/>
      <c r="C21" s="13">
        <f>C20+35000</f>
        <v/>
      </c>
      <c r="D21" s="13">
        <f>C21*$X$12</f>
        <v/>
      </c>
      <c r="E21" s="13">
        <f>$D$12+D21</f>
        <v/>
      </c>
      <c r="F21" s="13">
        <f>$C$12-E21</f>
        <v/>
      </c>
    </row>
    <row r="22">
      <c r="A22" s="15" t="inlineStr">
        <is>
          <t>-</t>
        </is>
      </c>
      <c r="B22" s="14" t="n"/>
      <c r="C22" s="13">
        <f>C21+35000</f>
        <v/>
      </c>
      <c r="D22" s="13">
        <f>C22*$X$12</f>
        <v/>
      </c>
      <c r="E22" s="13">
        <f>$D$12+D22</f>
        <v/>
      </c>
      <c r="F22" s="13">
        <f>$C$12-E22</f>
        <v/>
      </c>
    </row>
    <row r="23">
      <c r="A23" s="15" t="inlineStr">
        <is>
          <t>-</t>
        </is>
      </c>
      <c r="B23" s="14" t="n"/>
      <c r="C23" s="13">
        <f>C22+35000</f>
        <v/>
      </c>
      <c r="D23" s="13">
        <f>C23*$X$12</f>
        <v/>
      </c>
      <c r="E23" s="13">
        <f>$D$12+D23</f>
        <v/>
      </c>
      <c r="F23" s="13">
        <f>$C$12-E23</f>
        <v/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Mahfuzur Rahman</dc:creator>
  <dcterms:created xsi:type="dcterms:W3CDTF">2015-06-05T18:17:20Z</dcterms:created>
  <dcterms:modified xsi:type="dcterms:W3CDTF">2026-01-06T08:34:40Z</dcterms:modified>
  <cp:lastModifiedBy>Md. Mahfuzur Rahman</cp:lastModifiedBy>
</cp:coreProperties>
</file>