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1. Jan\"/>
    </mc:Choice>
  </mc:AlternateContent>
  <xr:revisionPtr revIDLastSave="0" documentId="13_ncr:1_{2883AB8B-4975-4C21-9B5C-2DC14448FB48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E18" i="1" s="1"/>
  <c r="B18" i="1"/>
  <c r="X12" i="1"/>
  <c r="T12" i="1"/>
  <c r="J12" i="1"/>
  <c r="C12" i="1"/>
  <c r="X11" i="1"/>
  <c r="T11" i="1"/>
  <c r="J11" i="1"/>
  <c r="F11" i="1"/>
  <c r="G11" i="1" s="1"/>
  <c r="E11" i="1"/>
  <c r="H11" i="1" s="1"/>
  <c r="X10" i="1"/>
  <c r="T10" i="1"/>
  <c r="J10" i="1"/>
  <c r="H10" i="1"/>
  <c r="M10" i="1" s="1"/>
  <c r="G10" i="1"/>
  <c r="F10" i="1"/>
  <c r="U10" i="1" s="1"/>
  <c r="L10" i="1" s="1"/>
  <c r="E10" i="1"/>
  <c r="X9" i="1"/>
  <c r="H9" i="1" s="1"/>
  <c r="T9" i="1"/>
  <c r="J9" i="1"/>
  <c r="G9" i="1"/>
  <c r="F9" i="1"/>
  <c r="U9" i="1" s="1"/>
  <c r="L9" i="1" s="1"/>
  <c r="E9" i="1"/>
  <c r="X8" i="1"/>
  <c r="T8" i="1"/>
  <c r="J8" i="1"/>
  <c r="F8" i="1"/>
  <c r="U8" i="1" s="1"/>
  <c r="E8" i="1"/>
  <c r="H8" i="1" s="1"/>
  <c r="X7" i="1"/>
  <c r="T7" i="1"/>
  <c r="J7" i="1"/>
  <c r="F7" i="1"/>
  <c r="G7" i="1" s="1"/>
  <c r="E7" i="1"/>
  <c r="H7" i="1" s="1"/>
  <c r="X6" i="1"/>
  <c r="T6" i="1"/>
  <c r="J6" i="1"/>
  <c r="H6" i="1"/>
  <c r="M6" i="1" s="1"/>
  <c r="G6" i="1"/>
  <c r="F6" i="1"/>
  <c r="U6" i="1" s="1"/>
  <c r="L6" i="1" s="1"/>
  <c r="E6" i="1"/>
  <c r="X5" i="1"/>
  <c r="T5" i="1"/>
  <c r="J5" i="1"/>
  <c r="G5" i="1"/>
  <c r="F5" i="1"/>
  <c r="U5" i="1" s="1"/>
  <c r="L5" i="1" s="1"/>
  <c r="E5" i="1"/>
  <c r="H5" i="1" s="1"/>
  <c r="X4" i="1"/>
  <c r="T4" i="1"/>
  <c r="J4" i="1"/>
  <c r="F4" i="1"/>
  <c r="U4" i="1" s="1"/>
  <c r="E4" i="1"/>
  <c r="E12" i="1" s="1"/>
  <c r="H12" i="1" s="1"/>
  <c r="I5" i="1" l="1"/>
  <c r="M5" i="1"/>
  <c r="L7" i="1"/>
  <c r="I9" i="1"/>
  <c r="M9" i="1"/>
  <c r="I11" i="1"/>
  <c r="M11" i="1"/>
  <c r="I12" i="1"/>
  <c r="M12" i="1"/>
  <c r="I7" i="1"/>
  <c r="M7" i="1"/>
  <c r="L8" i="1"/>
  <c r="L4" i="1"/>
  <c r="I8" i="1"/>
  <c r="M8" i="1"/>
  <c r="G4" i="1"/>
  <c r="G12" i="1" s="1"/>
  <c r="I6" i="1"/>
  <c r="U7" i="1"/>
  <c r="G8" i="1"/>
  <c r="I10" i="1"/>
  <c r="U11" i="1"/>
  <c r="L11" i="1" s="1"/>
  <c r="F12" i="1"/>
  <c r="U12" i="1" s="1"/>
  <c r="L12" i="1" s="1"/>
  <c r="C19" i="1"/>
  <c r="H4" i="1"/>
  <c r="A18" i="1"/>
  <c r="F18" i="1"/>
  <c r="D19" i="1" l="1"/>
  <c r="E19" i="1" s="1"/>
  <c r="F19" i="1" s="1"/>
  <c r="C20" i="1"/>
  <c r="I4" i="1"/>
  <c r="M4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<sst xmlns="http://schemas.openxmlformats.org/spreadsheetml/2006/main" count="57" uniqueCount="53">
  <si>
    <t>Plan vs Achievement</t>
  </si>
  <si>
    <t xml:space="preserve">Date: </t>
  </si>
  <si>
    <t>01-Jan-26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</si>
  <si>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</si>
  <si>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</si>
  <si>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</si>
  <si>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</si>
  <si>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</si>
  <si>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</si>
  <si>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</si>
  <si>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</si>
  <si>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</si>
  <si>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</si>
  <si>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</si>
  <si>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</si>
  <si>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</si>
  <si>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</si>
  <si>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</si>
  <si>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</si>
  <si>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</si>
  <si>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</si>
  <si>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</si>
  <si>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</si>
  <si>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</si>
  <si>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</si>
  <si>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</si>
  <si>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</si>
  <si>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</si>
  <si>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70.05%</t>
  </si>
  <si>
    <t>JFL</t>
  </si>
  <si>
    <t>60.53%</t>
  </si>
  <si>
    <t>JKL</t>
  </si>
  <si>
    <t>56.92%</t>
  </si>
  <si>
    <t>MFL</t>
  </si>
  <si>
    <t>60.86%</t>
  </si>
  <si>
    <t>FFL2</t>
  </si>
  <si>
    <t>53.36%</t>
  </si>
  <si>
    <t>JKL-U2</t>
  </si>
  <si>
    <t>71.08%</t>
  </si>
  <si>
    <t>LIN</t>
  </si>
  <si>
    <t>56.96%</t>
  </si>
  <si>
    <t>GTAL</t>
  </si>
  <si>
    <t>38.29%</t>
  </si>
  <si>
    <t>Grand Total</t>
  </si>
  <si>
    <t>61.47%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</si>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</sst>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  <xf numFmtId="2" fontId="6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D8" sqref="D8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14" max="14" width="9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19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80426</v>
      </c>
      <c r="C4" s="9">
        <v>2934984</v>
      </c>
      <c r="D4" s="9">
        <v>80426</v>
      </c>
      <c r="E4" s="9">
        <f t="shared" ref="E4:E11" si="0">C4-D4</f>
        <v>2854558</v>
      </c>
      <c r="F4" s="9">
        <f t="shared" ref="F4:F11" si="1">C4*W4/V4</f>
        <v>112884</v>
      </c>
      <c r="G4" s="9">
        <f t="shared" ref="G4:G11" si="2">F4-D4</f>
        <v>32458</v>
      </c>
      <c r="H4" s="9">
        <f t="shared" ref="H4:H12" si="3">(E4+B4)/(X4+1)</f>
        <v>112884</v>
      </c>
      <c r="I4" s="9">
        <f t="shared" ref="I4:I12" si="4">H4*N4</f>
        <v>708911.52</v>
      </c>
      <c r="J4" s="9">
        <f t="shared" ref="J4:J12" si="5">B4*O4</f>
        <v>546092.54</v>
      </c>
      <c r="K4" s="9">
        <v>94988</v>
      </c>
      <c r="L4" s="16">
        <f t="shared" ref="L4:L12" si="6">T4/U4</f>
        <v>0.77032538559960206</v>
      </c>
      <c r="M4" s="9">
        <f t="shared" ref="M4:M12" si="7">H4/P4</f>
        <v>11288.4</v>
      </c>
      <c r="N4" s="8">
        <v>6.28</v>
      </c>
      <c r="O4" s="8">
        <v>6.79</v>
      </c>
      <c r="P4" s="8">
        <v>10</v>
      </c>
      <c r="Q4" s="8">
        <v>8.27</v>
      </c>
      <c r="R4" s="11">
        <v>0.71</v>
      </c>
      <c r="S4" s="11" t="s">
        <v>28</v>
      </c>
      <c r="T4" s="9">
        <f t="shared" ref="T4:T12" si="8">O4*D4</f>
        <v>546092.54</v>
      </c>
      <c r="U4" s="9">
        <f t="shared" ref="U4:U12" si="9">N4*F4</f>
        <v>708911.52</v>
      </c>
      <c r="V4" s="8">
        <v>26</v>
      </c>
      <c r="W4" s="8">
        <v>1</v>
      </c>
      <c r="X4" s="8">
        <f t="shared" ref="X4:X12" si="10">V4-W4</f>
        <v>25</v>
      </c>
    </row>
    <row r="5" spans="1:24" x14ac:dyDescent="0.25">
      <c r="A5" s="10" t="s">
        <v>29</v>
      </c>
      <c r="B5" s="9">
        <v>37938</v>
      </c>
      <c r="C5" s="9">
        <v>1496352</v>
      </c>
      <c r="D5" s="9">
        <v>37938</v>
      </c>
      <c r="E5" s="9">
        <f t="shared" si="0"/>
        <v>1458414</v>
      </c>
      <c r="F5" s="9">
        <f t="shared" si="1"/>
        <v>57552</v>
      </c>
      <c r="G5" s="9">
        <f t="shared" si="2"/>
        <v>19614</v>
      </c>
      <c r="H5" s="9">
        <f t="shared" si="3"/>
        <v>57552</v>
      </c>
      <c r="I5" s="9">
        <f t="shared" si="4"/>
        <v>386173.92</v>
      </c>
      <c r="J5" s="9">
        <f t="shared" si="5"/>
        <v>204865.2</v>
      </c>
      <c r="K5" s="9">
        <v>51238</v>
      </c>
      <c r="L5" s="16">
        <f t="shared" si="6"/>
        <v>0.53049983282143964</v>
      </c>
      <c r="M5" s="9">
        <f t="shared" si="7"/>
        <v>5755.2</v>
      </c>
      <c r="N5" s="8">
        <v>6.71</v>
      </c>
      <c r="O5" s="8">
        <v>5.4</v>
      </c>
      <c r="P5" s="8">
        <v>10</v>
      </c>
      <c r="Q5" s="8">
        <v>7.96</v>
      </c>
      <c r="R5" s="11">
        <v>0.73</v>
      </c>
      <c r="S5" s="11" t="s">
        <v>30</v>
      </c>
      <c r="T5" s="9">
        <f t="shared" si="8"/>
        <v>204865.2</v>
      </c>
      <c r="U5" s="9">
        <f t="shared" si="9"/>
        <v>386173.92</v>
      </c>
      <c r="V5" s="8">
        <v>26</v>
      </c>
      <c r="W5" s="8">
        <v>1</v>
      </c>
      <c r="X5" s="8">
        <f t="shared" si="10"/>
        <v>25</v>
      </c>
    </row>
    <row r="6" spans="1:24" x14ac:dyDescent="0.25">
      <c r="A6" s="10" t="s">
        <v>31</v>
      </c>
      <c r="B6" s="9">
        <v>77304</v>
      </c>
      <c r="C6" s="9">
        <v>2665075</v>
      </c>
      <c r="D6" s="9">
        <v>77304</v>
      </c>
      <c r="E6" s="9">
        <f t="shared" si="0"/>
        <v>2587771</v>
      </c>
      <c r="F6" s="9">
        <f t="shared" si="1"/>
        <v>102502.88461538461</v>
      </c>
      <c r="G6" s="9">
        <f t="shared" si="2"/>
        <v>25198.88461538461</v>
      </c>
      <c r="H6" s="9">
        <f t="shared" si="3"/>
        <v>102502.88461538461</v>
      </c>
      <c r="I6" s="9">
        <f t="shared" si="4"/>
        <v>746221</v>
      </c>
      <c r="J6" s="9">
        <f t="shared" si="5"/>
        <v>519482.88</v>
      </c>
      <c r="K6" s="9">
        <v>107979</v>
      </c>
      <c r="L6" s="16">
        <f t="shared" si="6"/>
        <v>0.69615151543577569</v>
      </c>
      <c r="M6" s="9">
        <f t="shared" si="7"/>
        <v>10250.288461538461</v>
      </c>
      <c r="N6" s="8">
        <v>7.28</v>
      </c>
      <c r="O6" s="8">
        <v>6.72</v>
      </c>
      <c r="P6" s="8">
        <v>10</v>
      </c>
      <c r="Q6" s="8">
        <v>8.6199999999999992</v>
      </c>
      <c r="R6" s="11">
        <v>0.62149999999999994</v>
      </c>
      <c r="S6" s="11" t="s">
        <v>32</v>
      </c>
      <c r="T6" s="9">
        <f t="shared" si="8"/>
        <v>519482.88</v>
      </c>
      <c r="U6" s="9">
        <f t="shared" si="9"/>
        <v>746221</v>
      </c>
      <c r="V6" s="8">
        <v>26</v>
      </c>
      <c r="W6" s="8">
        <v>1</v>
      </c>
      <c r="X6" s="8">
        <f t="shared" si="10"/>
        <v>25</v>
      </c>
    </row>
    <row r="7" spans="1:24" x14ac:dyDescent="0.25">
      <c r="A7" s="10" t="s">
        <v>33</v>
      </c>
      <c r="B7" s="9">
        <v>65959</v>
      </c>
      <c r="C7" s="9">
        <v>2104429</v>
      </c>
      <c r="D7" s="9">
        <v>65959</v>
      </c>
      <c r="E7" s="9">
        <f t="shared" si="0"/>
        <v>2038470</v>
      </c>
      <c r="F7" s="9">
        <f t="shared" si="1"/>
        <v>80939.576923076922</v>
      </c>
      <c r="G7" s="9">
        <f t="shared" si="2"/>
        <v>14980.576923076922</v>
      </c>
      <c r="H7" s="9">
        <f t="shared" si="3"/>
        <v>80939.576923076922</v>
      </c>
      <c r="I7" s="9">
        <f t="shared" si="4"/>
        <v>655610.57307692303</v>
      </c>
      <c r="J7" s="9">
        <f t="shared" si="5"/>
        <v>422797.19</v>
      </c>
      <c r="K7" s="9">
        <v>89285</v>
      </c>
      <c r="L7" s="16">
        <f t="shared" si="6"/>
        <v>0.6448907436250163</v>
      </c>
      <c r="M7" s="9">
        <f t="shared" si="7"/>
        <v>8093.957692307692</v>
      </c>
      <c r="N7" s="8">
        <v>8.1</v>
      </c>
      <c r="O7" s="8">
        <v>6.41</v>
      </c>
      <c r="P7" s="8">
        <v>10</v>
      </c>
      <c r="Q7" s="8">
        <v>7.97</v>
      </c>
      <c r="R7" s="11">
        <v>0.6925</v>
      </c>
      <c r="S7" s="11" t="s">
        <v>34</v>
      </c>
      <c r="T7" s="9">
        <f t="shared" si="8"/>
        <v>422797.19</v>
      </c>
      <c r="U7" s="9">
        <f t="shared" si="9"/>
        <v>655610.57307692303</v>
      </c>
      <c r="V7" s="8">
        <v>26</v>
      </c>
      <c r="W7" s="8">
        <v>1</v>
      </c>
      <c r="X7" s="8">
        <f t="shared" si="10"/>
        <v>25</v>
      </c>
    </row>
    <row r="8" spans="1:24" x14ac:dyDescent="0.25">
      <c r="A8" s="10" t="s">
        <v>35</v>
      </c>
      <c r="B8" s="9">
        <v>53700</v>
      </c>
      <c r="C8" s="9">
        <v>2701433</v>
      </c>
      <c r="D8" s="9">
        <v>53700</v>
      </c>
      <c r="E8" s="9">
        <f t="shared" si="0"/>
        <v>2647733</v>
      </c>
      <c r="F8" s="9">
        <f t="shared" si="1"/>
        <v>103901.26923076923</v>
      </c>
      <c r="G8" s="9">
        <f t="shared" si="2"/>
        <v>50201.269230769234</v>
      </c>
      <c r="H8" s="9">
        <f t="shared" si="3"/>
        <v>103901.26923076923</v>
      </c>
      <c r="I8" s="9">
        <f t="shared" si="4"/>
        <v>734581.97346153855</v>
      </c>
      <c r="J8" s="9">
        <f t="shared" si="5"/>
        <v>349587</v>
      </c>
      <c r="K8" s="9">
        <v>79170</v>
      </c>
      <c r="L8" s="16">
        <f t="shared" si="6"/>
        <v>0.47589923606844919</v>
      </c>
      <c r="M8" s="9">
        <f t="shared" si="7"/>
        <v>10390.126923076923</v>
      </c>
      <c r="N8" s="8">
        <v>7.07</v>
      </c>
      <c r="O8" s="8">
        <v>6.51</v>
      </c>
      <c r="P8" s="8">
        <v>10</v>
      </c>
      <c r="Q8" s="8">
        <v>7.79</v>
      </c>
      <c r="R8" s="11">
        <v>0.68600000000000005</v>
      </c>
      <c r="S8" s="11" t="s">
        <v>36</v>
      </c>
      <c r="T8" s="9">
        <f t="shared" si="8"/>
        <v>349587</v>
      </c>
      <c r="U8" s="9">
        <f t="shared" si="9"/>
        <v>734581.97346153855</v>
      </c>
      <c r="V8" s="8">
        <v>26</v>
      </c>
      <c r="W8" s="8">
        <v>1</v>
      </c>
      <c r="X8" s="8">
        <f t="shared" si="10"/>
        <v>25</v>
      </c>
    </row>
    <row r="9" spans="1:24" ht="14.25" customHeight="1" x14ac:dyDescent="0.25">
      <c r="A9" s="10" t="s">
        <v>37</v>
      </c>
      <c r="B9" s="9">
        <v>99599</v>
      </c>
      <c r="C9" s="9">
        <v>3615050</v>
      </c>
      <c r="D9" s="9">
        <v>99599</v>
      </c>
      <c r="E9" s="9">
        <f t="shared" si="0"/>
        <v>3515451</v>
      </c>
      <c r="F9" s="9">
        <f t="shared" si="1"/>
        <v>139040.38461538462</v>
      </c>
      <c r="G9" s="9">
        <f t="shared" si="2"/>
        <v>39441.384615384624</v>
      </c>
      <c r="H9" s="9">
        <f t="shared" si="3"/>
        <v>139040.38461538462</v>
      </c>
      <c r="I9" s="9">
        <f t="shared" si="4"/>
        <v>1066439.75</v>
      </c>
      <c r="J9" s="9">
        <f t="shared" si="5"/>
        <v>829659.67</v>
      </c>
      <c r="K9" s="9">
        <v>112654</v>
      </c>
      <c r="L9" s="16">
        <f t="shared" si="6"/>
        <v>0.77797144189345913</v>
      </c>
      <c r="M9" s="9">
        <f t="shared" si="7"/>
        <v>13904.038461538463</v>
      </c>
      <c r="N9" s="8">
        <v>7.67</v>
      </c>
      <c r="O9" s="8">
        <v>8.33</v>
      </c>
      <c r="P9" s="8">
        <v>10</v>
      </c>
      <c r="Q9" s="8">
        <v>7.81</v>
      </c>
      <c r="R9" s="11">
        <v>0.68</v>
      </c>
      <c r="S9" s="11" t="s">
        <v>38</v>
      </c>
      <c r="T9" s="9">
        <f t="shared" si="8"/>
        <v>829659.67</v>
      </c>
      <c r="U9" s="9">
        <f t="shared" si="9"/>
        <v>1066439.75</v>
      </c>
      <c r="V9" s="8">
        <v>26</v>
      </c>
      <c r="W9" s="8">
        <v>1</v>
      </c>
      <c r="X9" s="8">
        <f t="shared" si="10"/>
        <v>25</v>
      </c>
    </row>
    <row r="10" spans="1:24" ht="14.25" customHeight="1" x14ac:dyDescent="0.25">
      <c r="A10" s="10" t="s">
        <v>39</v>
      </c>
      <c r="B10" s="9">
        <v>77377</v>
      </c>
      <c r="C10" s="9">
        <v>3140225</v>
      </c>
      <c r="D10" s="9">
        <v>77377</v>
      </c>
      <c r="E10" s="9">
        <f t="shared" si="0"/>
        <v>3062848</v>
      </c>
      <c r="F10" s="9">
        <f t="shared" si="1"/>
        <v>120777.88461538461</v>
      </c>
      <c r="G10" s="9">
        <f t="shared" si="2"/>
        <v>43400.88461538461</v>
      </c>
      <c r="H10" s="9">
        <f t="shared" si="3"/>
        <v>120777.88461538461</v>
      </c>
      <c r="I10" s="9">
        <f t="shared" si="4"/>
        <v>501228.22115384619</v>
      </c>
      <c r="J10" s="9">
        <f t="shared" si="5"/>
        <v>288616.21000000002</v>
      </c>
      <c r="K10" s="9">
        <v>116372</v>
      </c>
      <c r="L10" s="16">
        <f t="shared" si="6"/>
        <v>0.57581795641034472</v>
      </c>
      <c r="M10" s="9">
        <f t="shared" si="7"/>
        <v>12077.788461538461</v>
      </c>
      <c r="N10" s="8">
        <v>4.1500000000000004</v>
      </c>
      <c r="O10" s="8">
        <v>3.73</v>
      </c>
      <c r="P10" s="8">
        <v>10</v>
      </c>
      <c r="Q10" s="8">
        <v>7.88</v>
      </c>
      <c r="R10" s="11">
        <v>0.77</v>
      </c>
      <c r="S10" s="11" t="s">
        <v>40</v>
      </c>
      <c r="T10" s="9">
        <f t="shared" si="8"/>
        <v>288616.21000000002</v>
      </c>
      <c r="U10" s="9">
        <f t="shared" si="9"/>
        <v>501228.22115384619</v>
      </c>
      <c r="V10" s="8">
        <v>26</v>
      </c>
      <c r="W10" s="8">
        <v>1</v>
      </c>
      <c r="X10" s="8">
        <f t="shared" si="10"/>
        <v>25</v>
      </c>
    </row>
    <row r="11" spans="1:24" ht="14.25" customHeight="1" thickBot="1" x14ac:dyDescent="0.3">
      <c r="A11" s="20" t="s">
        <v>41</v>
      </c>
      <c r="B11" s="21">
        <v>18100</v>
      </c>
      <c r="C11" s="21">
        <v>0</v>
      </c>
      <c r="D11" s="21">
        <v>18100</v>
      </c>
      <c r="E11" s="9">
        <f t="shared" si="0"/>
        <v>-18100</v>
      </c>
      <c r="F11" s="9">
        <f t="shared" si="1"/>
        <v>0</v>
      </c>
      <c r="G11" s="9">
        <f t="shared" si="2"/>
        <v>-18100</v>
      </c>
      <c r="H11" s="9">
        <f t="shared" si="3"/>
        <v>0</v>
      </c>
      <c r="I11" s="9">
        <f t="shared" si="4"/>
        <v>0</v>
      </c>
      <c r="J11" s="9">
        <f t="shared" si="5"/>
        <v>93758</v>
      </c>
      <c r="K11" s="9">
        <v>39820</v>
      </c>
      <c r="L11" s="16" t="e">
        <f t="shared" si="6"/>
        <v>#DIV/0!</v>
      </c>
      <c r="M11" s="9" t="e">
        <f t="shared" si="7"/>
        <v>#DIV/0!</v>
      </c>
      <c r="N11" s="17"/>
      <c r="O11" s="17">
        <v>5.18</v>
      </c>
      <c r="P11" s="17"/>
      <c r="Q11" s="17">
        <v>8</v>
      </c>
      <c r="R11" s="18"/>
      <c r="S11" s="18" t="s">
        <v>42</v>
      </c>
      <c r="T11" s="9">
        <f t="shared" si="8"/>
        <v>93758</v>
      </c>
      <c r="U11" s="9">
        <f t="shared" si="9"/>
        <v>0</v>
      </c>
      <c r="V11" s="8">
        <v>26</v>
      </c>
      <c r="W11" s="8">
        <v>1</v>
      </c>
      <c r="X11" s="8">
        <f t="shared" si="10"/>
        <v>25</v>
      </c>
    </row>
    <row r="12" spans="1:24" ht="27.75" customHeight="1" thickTop="1" thickBot="1" x14ac:dyDescent="0.3">
      <c r="A12" s="6" t="s">
        <v>43</v>
      </c>
      <c r="B12" s="7">
        <v>510403</v>
      </c>
      <c r="C12" s="7">
        <f>SUM(C4:C11)</f>
        <v>18657548</v>
      </c>
      <c r="D12" s="7">
        <v>510403</v>
      </c>
      <c r="E12" s="7">
        <f>SUM(E4:E11)</f>
        <v>18147145</v>
      </c>
      <c r="F12" s="7">
        <f>SUM(F4:F11)</f>
        <v>717598.00000000012</v>
      </c>
      <c r="G12" s="7">
        <f>SUM(G4:G11)</f>
        <v>207195</v>
      </c>
      <c r="H12" s="7">
        <f t="shared" si="3"/>
        <v>717598</v>
      </c>
      <c r="I12" s="7">
        <f t="shared" si="4"/>
        <v>4844811.6399999997</v>
      </c>
      <c r="J12" s="7">
        <f t="shared" si="5"/>
        <v>3205330.8400000003</v>
      </c>
      <c r="K12" s="7">
        <v>691506</v>
      </c>
      <c r="L12" s="12">
        <f t="shared" si="6"/>
        <v>0.66160071395469155</v>
      </c>
      <c r="M12" s="7">
        <f t="shared" si="7"/>
        <v>71759.8</v>
      </c>
      <c r="N12" s="22">
        <v>6.7514285714285709</v>
      </c>
      <c r="O12" s="6">
        <v>6.28</v>
      </c>
      <c r="P12" s="6">
        <v>10</v>
      </c>
      <c r="Q12" s="6">
        <v>8.07</v>
      </c>
      <c r="R12" s="12">
        <v>0.61124999999999985</v>
      </c>
      <c r="S12" s="12" t="s">
        <v>44</v>
      </c>
      <c r="T12" s="7">
        <f t="shared" si="8"/>
        <v>3205330.8400000003</v>
      </c>
      <c r="U12" s="7">
        <f t="shared" si="9"/>
        <v>4844811.6400000006</v>
      </c>
      <c r="V12" s="6">
        <v>26</v>
      </c>
      <c r="W12" s="6">
        <v>1</v>
      </c>
      <c r="X12" s="6">
        <f t="shared" si="10"/>
        <v>25</v>
      </c>
    </row>
    <row r="13" spans="1:24" ht="15.75" customHeight="1" thickTop="1" x14ac:dyDescent="0.25"/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45</v>
      </c>
      <c r="M16" s="1"/>
    </row>
    <row r="17" spans="1:13" ht="61.5" customHeight="1" thickTop="1" thickBot="1" x14ac:dyDescent="0.3">
      <c r="A17" s="6" t="s">
        <v>46</v>
      </c>
      <c r="B17" s="6" t="s">
        <v>47</v>
      </c>
      <c r="C17" s="6" t="s">
        <v>48</v>
      </c>
      <c r="D17" s="6" t="s">
        <v>49</v>
      </c>
      <c r="E17" s="6" t="s">
        <v>50</v>
      </c>
      <c r="F17" s="6" t="s">
        <v>51</v>
      </c>
      <c r="J17" s="1"/>
    </row>
    <row r="18" spans="1:13" ht="15.75" customHeight="1" thickTop="1" x14ac:dyDescent="0.25">
      <c r="A18" s="13">
        <f>C12</f>
        <v>18657548</v>
      </c>
      <c r="B18" s="13">
        <f>D12</f>
        <v>510403</v>
      </c>
      <c r="C18" s="13">
        <f>QUOTIENT(B12,10000)*10000</f>
        <v>510000</v>
      </c>
      <c r="D18" s="13">
        <f t="shared" ref="D18:D23" si="11">C18*$X$12</f>
        <v>12750000</v>
      </c>
      <c r="E18" s="13">
        <f t="shared" ref="E18:E23" si="12">$D$12+D18</f>
        <v>13260403</v>
      </c>
      <c r="F18" s="13">
        <f t="shared" ref="F18:F23" si="13">$C$12-E18</f>
        <v>5397145</v>
      </c>
      <c r="M18" s="1"/>
    </row>
    <row r="19" spans="1:13" x14ac:dyDescent="0.25">
      <c r="A19" s="15" t="s">
        <v>52</v>
      </c>
      <c r="B19" s="14"/>
      <c r="C19" s="13">
        <f>C18+35000</f>
        <v>545000</v>
      </c>
      <c r="D19" s="13">
        <f t="shared" si="11"/>
        <v>13625000</v>
      </c>
      <c r="E19" s="13">
        <f t="shared" si="12"/>
        <v>14135403</v>
      </c>
      <c r="F19" s="13">
        <f t="shared" si="13"/>
        <v>4522145</v>
      </c>
      <c r="M19" s="1"/>
    </row>
    <row r="20" spans="1:13" x14ac:dyDescent="0.25">
      <c r="A20" s="15" t="s">
        <v>52</v>
      </c>
      <c r="B20" s="14"/>
      <c r="C20" s="13">
        <f>C19+35000</f>
        <v>580000</v>
      </c>
      <c r="D20" s="13">
        <f t="shared" si="11"/>
        <v>14500000</v>
      </c>
      <c r="E20" s="13">
        <f t="shared" si="12"/>
        <v>15010403</v>
      </c>
      <c r="F20" s="13">
        <f t="shared" si="13"/>
        <v>3647145</v>
      </c>
    </row>
    <row r="21" spans="1:13" x14ac:dyDescent="0.25">
      <c r="A21" s="15" t="s">
        <v>52</v>
      </c>
      <c r="B21" s="14"/>
      <c r="C21" s="13">
        <f>C20+35000</f>
        <v>615000</v>
      </c>
      <c r="D21" s="13">
        <f t="shared" si="11"/>
        <v>15375000</v>
      </c>
      <c r="E21" s="13">
        <f t="shared" si="12"/>
        <v>15885403</v>
      </c>
      <c r="F21" s="13">
        <f t="shared" si="13"/>
        <v>2772145</v>
      </c>
    </row>
    <row r="22" spans="1:13" x14ac:dyDescent="0.25">
      <c r="A22" s="15" t="s">
        <v>52</v>
      </c>
      <c r="B22" s="14"/>
      <c r="C22" s="13">
        <f>C21+35000</f>
        <v>650000</v>
      </c>
      <c r="D22" s="13">
        <f t="shared" si="11"/>
        <v>16250000</v>
      </c>
      <c r="E22" s="13">
        <f t="shared" si="12"/>
        <v>16760403</v>
      </c>
      <c r="F22" s="13">
        <f t="shared" si="13"/>
        <v>1897145</v>
      </c>
    </row>
    <row r="23" spans="1:13" x14ac:dyDescent="0.25">
      <c r="A23" s="15" t="s">
        <v>52</v>
      </c>
      <c r="B23" s="14"/>
      <c r="C23" s="13">
        <f>C22+35000</f>
        <v>685000</v>
      </c>
      <c r="D23" s="13">
        <f t="shared" si="11"/>
        <v>17125000</v>
      </c>
      <c r="E23" s="13">
        <f t="shared" si="12"/>
        <v>17635403</v>
      </c>
      <c r="F23" s="13">
        <f t="shared" si="13"/>
        <v>1022145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2026-01-03T06:47:00Z</dcterms:modified>
</cp:coreProperties>
</file>